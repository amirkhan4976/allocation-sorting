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khan73_mgb_org/Documents/Amir Khan/FinThrive/Inventory/"/>
    </mc:Choice>
  </mc:AlternateContent>
  <xr:revisionPtr revIDLastSave="481" documentId="13_ncr:1_{05519A6A-052D-42D1-89C8-EBA9C12214C1}" xr6:coauthVersionLast="47" xr6:coauthVersionMax="47" xr10:uidLastSave="{9E187484-EE75-45CB-A5BA-5D87B8CC01E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2" i="1"/>
  <c r="AD3" i="1" l="1"/>
  <c r="AD4" i="1"/>
</calcChain>
</file>

<file path=xl/sharedStrings.xml><?xml version="1.0" encoding="utf-8"?>
<sst xmlns="http://schemas.openxmlformats.org/spreadsheetml/2006/main" count="568" uniqueCount="233">
  <si>
    <t>Days to TFD</t>
  </si>
  <si>
    <t>User Age</t>
  </si>
  <si>
    <t>Status</t>
  </si>
  <si>
    <t>Group Name</t>
  </si>
  <si>
    <t>Account Number</t>
  </si>
  <si>
    <t>PCN (Patient Account Number)</t>
  </si>
  <si>
    <t>Patient Last Name</t>
  </si>
  <si>
    <t>Patient First Name</t>
  </si>
  <si>
    <t>Stmt From</t>
  </si>
  <si>
    <t>Stmt Thru</t>
  </si>
  <si>
    <t>Claim Type</t>
  </si>
  <si>
    <t>Total Charges</t>
  </si>
  <si>
    <t>TOB</t>
  </si>
  <si>
    <t>Payer Name</t>
  </si>
  <si>
    <t>EOB Attached</t>
  </si>
  <si>
    <t>User Name</t>
  </si>
  <si>
    <t>Payer Code</t>
  </si>
  <si>
    <t>Prov ID</t>
  </si>
  <si>
    <t>Import ID</t>
  </si>
  <si>
    <t>Export ID (Claim)</t>
  </si>
  <si>
    <t>Claim ID</t>
  </si>
  <si>
    <t>Rend/Attnd Phys LName</t>
  </si>
  <si>
    <t>Rend/Attnd Phys FName</t>
  </si>
  <si>
    <t>ICN/DCN</t>
  </si>
  <si>
    <t>Estimated Amount Due</t>
  </si>
  <si>
    <t>W/S</t>
  </si>
  <si>
    <t>Workable</t>
  </si>
  <si>
    <t>Skips</t>
  </si>
  <si>
    <t>Incomplete</t>
  </si>
  <si>
    <t>PHS-PA-2NDRY-VEE-UNMATCH</t>
  </si>
  <si>
    <t>BASILE</t>
  </si>
  <si>
    <t>LYNN</t>
  </si>
  <si>
    <t>Inst</t>
  </si>
  <si>
    <t>MASSHEALTH</t>
  </si>
  <si>
    <t>No</t>
  </si>
  <si>
    <t>ak2029</t>
  </si>
  <si>
    <t>HENTSCHEL</t>
  </si>
  <si>
    <t>DIRK</t>
  </si>
  <si>
    <t>ANDERSON</t>
  </si>
  <si>
    <t>ELIZABETH</t>
  </si>
  <si>
    <t>BLUE CROSS MEDEX SUPPLEMENT</t>
  </si>
  <si>
    <t>Yes</t>
  </si>
  <si>
    <t>LIAN</t>
  </si>
  <si>
    <t>BILL</t>
  </si>
  <si>
    <t>VASQUEZ ALVARENGA</t>
  </si>
  <si>
    <t>DANIELA</t>
  </si>
  <si>
    <t>Prof</t>
  </si>
  <si>
    <t>COHEN</t>
  </si>
  <si>
    <t>MARYA</t>
  </si>
  <si>
    <t>MCGUIRE</t>
  </si>
  <si>
    <t>JOSEPHINE</t>
  </si>
  <si>
    <t>LEVISON</t>
  </si>
  <si>
    <t>MATTHEW</t>
  </si>
  <si>
    <t>MEJIA CONTRERAS</t>
  </si>
  <si>
    <t>KENIA</t>
  </si>
  <si>
    <t>WENNERS</t>
  </si>
  <si>
    <t>VINCENT</t>
  </si>
  <si>
    <t>BLUE CROSS ANTHEM NH MEDICARE SUPPLEMENT</t>
  </si>
  <si>
    <t>MURRAY</t>
  </si>
  <si>
    <t>CAROLINE</t>
  </si>
  <si>
    <t>LUNDBORN</t>
  </si>
  <si>
    <t>LAURA</t>
  </si>
  <si>
    <t>LARAMORE</t>
  </si>
  <si>
    <t>RILEY</t>
  </si>
  <si>
    <t>SMITH</t>
  </si>
  <si>
    <t>GARY</t>
  </si>
  <si>
    <t>SANSEVERINO</t>
  </si>
  <si>
    <t>BRITTANY</t>
  </si>
  <si>
    <t>LOISELLE</t>
  </si>
  <si>
    <t>DIANE</t>
  </si>
  <si>
    <t>CARTIER</t>
  </si>
  <si>
    <t>MEGAN</t>
  </si>
  <si>
    <t>OBERLANDER</t>
  </si>
  <si>
    <t>GEORGE</t>
  </si>
  <si>
    <t>BLUE CROSS MANAGED BLUE FOR SENIORS SUPP</t>
  </si>
  <si>
    <t>FINNERAN</t>
  </si>
  <si>
    <t>JAMES</t>
  </si>
  <si>
    <t>HANJIAN</t>
  </si>
  <si>
    <t>TIMOTHY</t>
  </si>
  <si>
    <t>MARTHASVINEYARDHOSPITAL</t>
  </si>
  <si>
    <t>PHS-PA-2NDRY-VEE-GENERAL</t>
  </si>
  <si>
    <t>LANDRON</t>
  </si>
  <si>
    <t>YOKAIRA</t>
  </si>
  <si>
    <t>MECKE</t>
  </si>
  <si>
    <t>THOMAS</t>
  </si>
  <si>
    <t>MEJIA POSADAS</t>
  </si>
  <si>
    <t>ISIS</t>
  </si>
  <si>
    <t>ERNSPIKER</t>
  </si>
  <si>
    <t>REBECCA</t>
  </si>
  <si>
    <t>WHEELER</t>
  </si>
  <si>
    <t>JAYANTHI</t>
  </si>
  <si>
    <t>LAROCHE</t>
  </si>
  <si>
    <t>EARL</t>
  </si>
  <si>
    <t>PATEL</t>
  </si>
  <si>
    <t>MANISHA</t>
  </si>
  <si>
    <t>BEDARD</t>
  </si>
  <si>
    <t>ROGER</t>
  </si>
  <si>
    <t>KIM</t>
  </si>
  <si>
    <t>LEO</t>
  </si>
  <si>
    <t>GWALTNEY</t>
  </si>
  <si>
    <t>BLUE CROSS OUT OF STATE PPO</t>
  </si>
  <si>
    <t>WOLFE</t>
  </si>
  <si>
    <t>ALEXANDRA</t>
  </si>
  <si>
    <t>BAKER</t>
  </si>
  <si>
    <t>SAMUEL</t>
  </si>
  <si>
    <t>THUT</t>
  </si>
  <si>
    <t>DAVID</t>
  </si>
  <si>
    <t>DUNDORF</t>
  </si>
  <si>
    <t>CLAIRE</t>
  </si>
  <si>
    <t>UNITED AARP MEDICARE SUPPLEMENT</t>
  </si>
  <si>
    <t>FARAH</t>
  </si>
  <si>
    <t>HUSAM</t>
  </si>
  <si>
    <t>OLANREWAJU</t>
  </si>
  <si>
    <t>FOYEKE</t>
  </si>
  <si>
    <t>DEFILIPP</t>
  </si>
  <si>
    <t>ZACHARIAH</t>
  </si>
  <si>
    <t>DEVARNEY</t>
  </si>
  <si>
    <t>JUNG</t>
  </si>
  <si>
    <t>CAHILL</t>
  </si>
  <si>
    <t>GREGORY</t>
  </si>
  <si>
    <t>PARMAR</t>
  </si>
  <si>
    <t>GAURAV</t>
  </si>
  <si>
    <t>CRUZ MARTINEZ</t>
  </si>
  <si>
    <t>LUIS</t>
  </si>
  <si>
    <t>BLUE CROSS PPO</t>
  </si>
  <si>
    <t>KLIG</t>
  </si>
  <si>
    <t>JEAN</t>
  </si>
  <si>
    <t>BHULABHAI</t>
  </si>
  <si>
    <t>BHAVIK</t>
  </si>
  <si>
    <t>SANCHEZ</t>
  </si>
  <si>
    <t>ALFREDO</t>
  </si>
  <si>
    <t>DAREN</t>
  </si>
  <si>
    <t>ANNA</t>
  </si>
  <si>
    <t>TESTA</t>
  </si>
  <si>
    <t>GINELLE</t>
  </si>
  <si>
    <t>TUFTS PUBLIC PLANS DIRECT</t>
  </si>
  <si>
    <t>CAFFYN</t>
  </si>
  <si>
    <t>SEAN</t>
  </si>
  <si>
    <t>RUMPH</t>
  </si>
  <si>
    <t>JENNIFER</t>
  </si>
  <si>
    <t>WENDORF</t>
  </si>
  <si>
    <t>KIRA</t>
  </si>
  <si>
    <t>HALPIN</t>
  </si>
  <si>
    <t>KRISTINE</t>
  </si>
  <si>
    <t>CHO</t>
  </si>
  <si>
    <t>ROSA</t>
  </si>
  <si>
    <t>MATOSIC</t>
  </si>
  <si>
    <t>NICOLAS</t>
  </si>
  <si>
    <t>BMI BENEFITS SPORTS INJURY</t>
  </si>
  <si>
    <t>ASNIS</t>
  </si>
  <si>
    <t>PETER</t>
  </si>
  <si>
    <t>CISNEROS ORTIZ</t>
  </si>
  <si>
    <t>YULIANA</t>
  </si>
  <si>
    <t>TETTEH</t>
  </si>
  <si>
    <t>NII</t>
  </si>
  <si>
    <t>LAFRATTA</t>
  </si>
  <si>
    <t>DOROTHY</t>
  </si>
  <si>
    <t>UA LOCAL 12</t>
  </si>
  <si>
    <t>KWAIT</t>
  </si>
  <si>
    <t>GLOWACKI</t>
  </si>
  <si>
    <t>UNITED AMERICAN MEDICARE SUPPPLEMENT</t>
  </si>
  <si>
    <t>EAGLETON</t>
  </si>
  <si>
    <t>DOHERTY</t>
  </si>
  <si>
    <t>MARGARET</t>
  </si>
  <si>
    <t>UNITED AMERICAN INS CO</t>
  </si>
  <si>
    <t>JI</t>
  </si>
  <si>
    <t>YONGLI</t>
  </si>
  <si>
    <t>JOHNSON</t>
  </si>
  <si>
    <t>ENID</t>
  </si>
  <si>
    <t>BOSSE</t>
  </si>
  <si>
    <t>JANELLE</t>
  </si>
  <si>
    <t>MISHO</t>
  </si>
  <si>
    <t>FRANKA</t>
  </si>
  <si>
    <t>CHEUNG</t>
  </si>
  <si>
    <t>PUI</t>
  </si>
  <si>
    <t>MCCAULEY</t>
  </si>
  <si>
    <t>BLUE CROSS FEDERAL</t>
  </si>
  <si>
    <t>TAHA</t>
  </si>
  <si>
    <t>MOHAMED</t>
  </si>
  <si>
    <t>KIKWAKI</t>
  </si>
  <si>
    <t>MARCELINE</t>
  </si>
  <si>
    <t>FINKLESTEIN</t>
  </si>
  <si>
    <t>SETH</t>
  </si>
  <si>
    <t>LEONG</t>
  </si>
  <si>
    <t>SI ARN AARON</t>
  </si>
  <si>
    <t>SHEA</t>
  </si>
  <si>
    <t>CRISTINA</t>
  </si>
  <si>
    <t>TRANCYNGER</t>
  </si>
  <si>
    <t>CHRISTOPHER</t>
  </si>
  <si>
    <t>BHAN</t>
  </si>
  <si>
    <t>ANILA</t>
  </si>
  <si>
    <t>SCHWARTZ</t>
  </si>
  <si>
    <t>JOANNA</t>
  </si>
  <si>
    <t>DUNCAN</t>
  </si>
  <si>
    <t>MONIQUE</t>
  </si>
  <si>
    <t>BONO</t>
  </si>
  <si>
    <t>CHAREST</t>
  </si>
  <si>
    <t>KATHLEEN</t>
  </si>
  <si>
    <t>LEE</t>
  </si>
  <si>
    <t>BRENDA</t>
  </si>
  <si>
    <t>SCRIMA</t>
  </si>
  <si>
    <t>JANET</t>
  </si>
  <si>
    <t>AZIZSULTAN</t>
  </si>
  <si>
    <t>MOHAMMAD ALI</t>
  </si>
  <si>
    <t>SCHNEIDER</t>
  </si>
  <si>
    <t>DALE</t>
  </si>
  <si>
    <t>LALL</t>
  </si>
  <si>
    <t>BHAVNA</t>
  </si>
  <si>
    <t>SEUFFERT</t>
  </si>
  <si>
    <t>MARGUERITE</t>
  </si>
  <si>
    <t>MARCIANO</t>
  </si>
  <si>
    <t>SADIE</t>
  </si>
  <si>
    <t>URBANEJA</t>
  </si>
  <si>
    <t>VICTOR</t>
  </si>
  <si>
    <t>WINTER</t>
  </si>
  <si>
    <t>RACHEL</t>
  </si>
  <si>
    <t>LAURETTI</t>
  </si>
  <si>
    <t>LINDA</t>
  </si>
  <si>
    <t>PETIPAS</t>
  </si>
  <si>
    <t>JOO</t>
  </si>
  <si>
    <t>JINHUI</t>
  </si>
  <si>
    <t>MIGLIORE</t>
  </si>
  <si>
    <t>MORRISON</t>
  </si>
  <si>
    <t>MEREDITH</t>
  </si>
  <si>
    <t>HOUDE</t>
  </si>
  <si>
    <t>SANDRA</t>
  </si>
  <si>
    <t>RADNER</t>
  </si>
  <si>
    <t>NANCY</t>
  </si>
  <si>
    <t>CHANG</t>
  </si>
  <si>
    <t>SARAH</t>
  </si>
  <si>
    <t>BLUE CROSS OUT OF STATE HMO</t>
  </si>
  <si>
    <t>TEMOCZKO</t>
  </si>
  <si>
    <t>PAULA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</si>
</sst>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b/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0" fillId="0" borderId="0" xfId="0" applyNumberFormat="1"/>
    <xf numFmtId="0" fontId="1" fillId="0" borderId="0" xfId="1" applyFont="1" applyAlignment="1">
      <alignment horizontal="center"/>
    </xf>
    <xf numFmtId="0" fontId="0" fillId="2" borderId="1" xfId="0" applyFill="1" applyBorder="1"/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applyFont="1"/>
    <xf numFmtId="1" fontId="5" fillId="0" borderId="0" xfId="0" applyNumberFormat="1" applyFont="1"/>
    <xf numFmtId="14" fontId="5" fillId="0" borderId="0" xfId="0" applyNumberFormat="1" applyFont="1"/>
    <xf numFmtId="8" fontId="5" fillId="0" borderId="0" xfId="0" applyNumberFormat="1" applyFont="1"/>
  </cellXfs>
  <cellStyles count="2">
    <cellStyle name="Normal" xfId="0" builtinId="0"/>
    <cellStyle name="Normal_Sheet1" xfId="1" xr:uid="{55132CEC-CDB1-4933-823A-CB0EC8DC119A}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E4ACE-CE0D-4538-A0D0-095C172F2705}" name="Skips" displayName="Skips" ref="AG1:AG37" totalsRowShown="0" headerRowDxfId="30" dataDxfId="29">
  <autoFilter ref="AG1:AG37" xr:uid="{052E4ACE-CE0D-4538-A0D0-095C172F2705}"/>
  <tableColumns count="1">
    <tableColumn id="1" xr3:uid="{7C9D4F82-4075-4516-93BB-7372451C64E1}" name="Skips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5B1F9D-8A4E-4450-87F0-6E49EF5ABFC6}" name="Inventory" displayName="Inventory" ref="A1:Z55" totalsRowShown="0" headerRowDxfId="1" dataDxfId="0">
  <tableColumns count="26">
    <tableColumn id="1" xr3:uid="{94977629-7FA1-440F-B90D-B3DC922E141D}" name="Days to TFD" dataDxfId="27"/>
    <tableColumn id="2" xr3:uid="{BE714177-8AB3-4760-A134-2822CC794190}" name="User Age" dataDxfId="26"/>
    <tableColumn id="3" xr3:uid="{ED1AC38C-5310-4BF7-ABCF-8285E0793C01}" name="Status" dataDxfId="25"/>
    <tableColumn id="4" xr3:uid="{B9DD2ABB-FBEB-4441-A749-474A3B1CD0D3}" name="Group Name" dataDxfId="24"/>
    <tableColumn id="5" xr3:uid="{236C1611-1654-4D0E-B476-016F34FF5D37}" name="Account Number" dataDxfId="23"/>
    <tableColumn id="6" xr3:uid="{3EFBE379-8CA4-44A0-9D3D-D2C3D6F8A250}" name="PCN (Patient Account Number)" dataDxfId="22"/>
    <tableColumn id="7" xr3:uid="{B6E761C1-16C2-42B5-8F5D-F786E3A73C9A}" name="Patient Last Name" dataDxfId="21"/>
    <tableColumn id="8" xr3:uid="{4859D4E5-0D85-4C56-9998-53E1A5F61EFA}" name="Patient First Name" dataDxfId="20"/>
    <tableColumn id="9" xr3:uid="{08B6E7ED-DD6C-4D38-885E-5CA4720184EB}" name="Stmt From" dataDxfId="19"/>
    <tableColumn id="10" xr3:uid="{D720F928-3F00-4B82-9B1D-732A957E9A12}" name="Stmt Thru" dataDxfId="18"/>
    <tableColumn id="11" xr3:uid="{C50E9252-9151-42FF-98D5-DC83E1A0B01D}" name="Claim Type" dataDxfId="17"/>
    <tableColumn id="12" xr3:uid="{A0B90E0D-C095-4757-9D75-9A1A3CA1E27C}" name="Total Charges" dataDxfId="16"/>
    <tableColumn id="13" xr3:uid="{DF07E063-7276-432A-AAE4-45BCB839D238}" name="TOB" dataDxfId="15"/>
    <tableColumn id="14" xr3:uid="{E007CA44-1C0D-4D16-B438-D35D7E1281ED}" name="Payer Name" dataDxfId="14"/>
    <tableColumn id="15" xr3:uid="{708B508B-CF08-42D8-8490-3534905C487F}" name="EOB Attached" dataDxfId="13"/>
    <tableColumn id="16" xr3:uid="{CD8FFE3F-A6D1-4123-A156-34DC0A6628E5}" name="User Name" dataDxfId="12"/>
    <tableColumn id="17" xr3:uid="{1D215579-18FD-40CB-B491-0B33B4E0E4E0}" name="Payer Code" dataDxfId="11"/>
    <tableColumn id="18" xr3:uid="{F145CC77-74A2-489F-BCAD-76715CA17E54}" name="Prov ID" dataDxfId="10"/>
    <tableColumn id="19" xr3:uid="{36EC1D58-605E-4A4D-976D-AB65725C7333}" name="Import ID" dataDxfId="9"/>
    <tableColumn id="20" xr3:uid="{88832F4C-5A60-45F6-9B94-2B63863DD407}" name="Export ID (Claim)" dataDxfId="8"/>
    <tableColumn id="21" xr3:uid="{6BAC4B51-A922-4011-92B1-0209A5D6E48B}" name="Claim ID" dataDxfId="7"/>
    <tableColumn id="22" xr3:uid="{259EB108-9D1A-40EB-BBB4-D3626B2DCC3C}" name="Rend/Attnd Phys LName" dataDxfId="6"/>
    <tableColumn id="23" xr3:uid="{49A8B0AA-2B75-423D-93B9-19F32CBAC175}" name="Rend/Attnd Phys FName" dataDxfId="5"/>
    <tableColumn id="24" xr3:uid="{D5446446-A379-4A86-8A01-86282E9FDAFE}" name="ICN/DCN" dataDxfId="4"/>
    <tableColumn id="25" xr3:uid="{7EF1C96B-84EA-462F-83DB-5D005B40B7BE}" name="Estimated Amount Due" dataDxfId="3"/>
    <tableColumn id="26" xr3:uid="{CEB4D774-2A73-4D1E-9859-F382B3584314}" name="W/S" dataDxfId="2">
      <calculatedColumnFormula>IF(COUNTIF($AG$2:$AG$37, E2) &gt;0, "Skip", "Work")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"/>
  <sheetViews>
    <sheetView tabSelected="1" topLeftCell="O1" workbookViewId="0">
      <selection activeCell="AG1" sqref="AG1"/>
    </sheetView>
  </sheetViews>
  <sheetFormatPr defaultRowHeight="12.75" x14ac:dyDescent="0.2"/>
  <cols>
    <col min="1" max="1" width="13.85546875" customWidth="1"/>
    <col min="2" max="2" width="11.28515625" customWidth="1"/>
    <col min="3" max="3" width="10.7109375" bestFit="1" customWidth="1"/>
    <col min="4" max="4" width="24.7109375" bestFit="1" customWidth="1"/>
    <col min="5" max="5" width="18.140625" customWidth="1"/>
    <col min="6" max="6" width="30.7109375" style="3" customWidth="1"/>
    <col min="7" max="7" width="19.7109375" customWidth="1"/>
    <col min="8" max="8" width="19.85546875" customWidth="1"/>
    <col min="9" max="9" width="12.5703125" customWidth="1"/>
    <col min="10" max="10" width="12" customWidth="1"/>
    <col min="11" max="11" width="13.42578125" customWidth="1"/>
    <col min="12" max="12" width="15.7109375" customWidth="1"/>
    <col min="13" max="13" width="7" customWidth="1"/>
    <col min="14" max="14" width="35.7109375" bestFit="1" customWidth="1"/>
    <col min="15" max="15" width="15.5703125" customWidth="1"/>
    <col min="16" max="16" width="13" customWidth="1"/>
    <col min="17" max="17" width="13.7109375" customWidth="1"/>
    <col min="18" max="18" width="9.7109375" customWidth="1"/>
    <col min="19" max="19" width="11.42578125" customWidth="1"/>
    <col min="20" max="20" width="18.7109375" bestFit="1" customWidth="1"/>
    <col min="21" max="21" width="10.85546875" customWidth="1"/>
    <col min="22" max="23" width="25" customWidth="1"/>
    <col min="24" max="24" width="13.7109375" bestFit="1" customWidth="1"/>
    <col min="25" max="25" width="23.7109375" customWidth="1"/>
    <col min="29" max="30" width="11.140625" customWidth="1"/>
    <col min="33" max="33" width="12.42578125" bestFit="1" customWidth="1"/>
  </cols>
  <sheetData>
    <row r="1" spans="1:33" ht="1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G1" s="1" t="s">
        <v>27</v>
      </c>
    </row>
    <row r="2" spans="1:33" ht="15" x14ac:dyDescent="0.25">
      <c r="A2" s="8">
        <v>-67</v>
      </c>
      <c r="B2" s="8">
        <v>43</v>
      </c>
      <c r="C2" s="8" t="s">
        <v>28</v>
      </c>
      <c r="D2" s="8" t="s">
        <v>29</v>
      </c>
      <c r="E2" s="8">
        <v>6387078649</v>
      </c>
      <c r="F2" s="9">
        <v>638707864902</v>
      </c>
      <c r="G2" s="8" t="s">
        <v>30</v>
      </c>
      <c r="H2" s="8" t="s">
        <v>31</v>
      </c>
      <c r="I2" s="10">
        <v>46035</v>
      </c>
      <c r="J2" s="10">
        <v>46035</v>
      </c>
      <c r="K2" s="8" t="s">
        <v>32</v>
      </c>
      <c r="L2" s="11">
        <v>120</v>
      </c>
      <c r="M2" s="8">
        <v>131</v>
      </c>
      <c r="N2" s="8" t="s">
        <v>33</v>
      </c>
      <c r="O2" s="8" t="s">
        <v>34</v>
      </c>
      <c r="P2" s="8" t="s">
        <v>35</v>
      </c>
      <c r="Q2" s="8">
        <v>3</v>
      </c>
      <c r="R2" s="8"/>
      <c r="S2" s="8">
        <v>830133</v>
      </c>
      <c r="T2" s="8"/>
      <c r="U2" s="8">
        <v>139276265</v>
      </c>
      <c r="V2" s="8" t="s">
        <v>36</v>
      </c>
      <c r="W2" s="8" t="s">
        <v>37</v>
      </c>
      <c r="X2" s="8"/>
      <c r="Y2" s="11">
        <v>0</v>
      </c>
      <c r="Z2" s="8" t="str">
        <f>IF(COUNTIF($AG$2:$AG$37, E2) &gt;0, "Skip", "Work")</f>
        <v>Skip</v>
      </c>
      <c r="AG2" s="4">
        <v>6338576267</v>
      </c>
    </row>
    <row r="3" spans="1:33" ht="15" x14ac:dyDescent="0.25">
      <c r="A3" s="8">
        <v>24</v>
      </c>
      <c r="B3" s="8">
        <v>43</v>
      </c>
      <c r="C3" s="8" t="s">
        <v>28</v>
      </c>
      <c r="D3" s="8" t="s">
        <v>29</v>
      </c>
      <c r="E3" s="8">
        <v>6369680901</v>
      </c>
      <c r="F3" s="9">
        <v>636968090103</v>
      </c>
      <c r="G3" s="8" t="s">
        <v>38</v>
      </c>
      <c r="H3" s="8" t="s">
        <v>39</v>
      </c>
      <c r="I3" s="10">
        <v>46083</v>
      </c>
      <c r="J3" s="10">
        <v>46083</v>
      </c>
      <c r="K3" s="8" t="s">
        <v>32</v>
      </c>
      <c r="L3" s="11">
        <v>343.64</v>
      </c>
      <c r="M3" s="8">
        <v>131</v>
      </c>
      <c r="N3" s="8" t="s">
        <v>40</v>
      </c>
      <c r="O3" s="8" t="s">
        <v>41</v>
      </c>
      <c r="P3" s="8" t="s">
        <v>35</v>
      </c>
      <c r="Q3" s="8">
        <v>24</v>
      </c>
      <c r="R3" s="8"/>
      <c r="S3" s="8">
        <v>827509</v>
      </c>
      <c r="T3" s="8"/>
      <c r="U3" s="8">
        <v>138818318</v>
      </c>
      <c r="V3" s="8" t="s">
        <v>42</v>
      </c>
      <c r="W3" s="8" t="s">
        <v>43</v>
      </c>
      <c r="X3" s="8"/>
      <c r="Y3" s="11">
        <v>0</v>
      </c>
      <c r="Z3" s="8" t="str">
        <f t="shared" ref="Z3:Z34" si="0">IF(COUNTIF($AG$2:$AG$37, E3) &gt;0, "Skip", "Work")</f>
        <v>Skip</v>
      </c>
      <c r="AC3" s="5" t="s">
        <v>26</v>
      </c>
      <c r="AD3" s="5">
        <f>COUNTIF(Inventory[W/S], "Work")</f>
        <v>31</v>
      </c>
      <c r="AG3" s="2">
        <v>6382317126</v>
      </c>
    </row>
    <row r="4" spans="1:33" ht="15" x14ac:dyDescent="0.25">
      <c r="A4" s="8">
        <v>-115</v>
      </c>
      <c r="B4" s="8">
        <v>43</v>
      </c>
      <c r="C4" s="8" t="s">
        <v>28</v>
      </c>
      <c r="D4" s="8" t="s">
        <v>29</v>
      </c>
      <c r="E4" s="8">
        <v>6382317126</v>
      </c>
      <c r="F4" s="9">
        <v>638231712607</v>
      </c>
      <c r="G4" s="8" t="s">
        <v>44</v>
      </c>
      <c r="H4" s="8" t="s">
        <v>45</v>
      </c>
      <c r="I4" s="10">
        <v>45978</v>
      </c>
      <c r="J4" s="10">
        <v>45978</v>
      </c>
      <c r="K4" s="8" t="s">
        <v>46</v>
      </c>
      <c r="L4" s="11">
        <v>424</v>
      </c>
      <c r="M4" s="8">
        <v>221</v>
      </c>
      <c r="N4" s="8" t="s">
        <v>33</v>
      </c>
      <c r="O4" s="8" t="s">
        <v>34</v>
      </c>
      <c r="P4" s="8" t="s">
        <v>35</v>
      </c>
      <c r="Q4" s="8">
        <v>3</v>
      </c>
      <c r="R4" s="8"/>
      <c r="S4" s="8">
        <v>826973</v>
      </c>
      <c r="T4" s="8"/>
      <c r="U4" s="8">
        <v>138741171</v>
      </c>
      <c r="V4" s="8" t="s">
        <v>47</v>
      </c>
      <c r="W4" s="8" t="s">
        <v>48</v>
      </c>
      <c r="X4" s="8"/>
      <c r="Y4" s="11">
        <v>424</v>
      </c>
      <c r="Z4" s="8" t="str">
        <f t="shared" si="0"/>
        <v>Skip</v>
      </c>
      <c r="AC4" s="5" t="s">
        <v>27</v>
      </c>
      <c r="AD4" s="5">
        <f>COUNTIF(Inventory[W/S], "Skip")</f>
        <v>23</v>
      </c>
      <c r="AG4" s="2">
        <v>6356498483</v>
      </c>
    </row>
    <row r="5" spans="1:33" ht="15" x14ac:dyDescent="0.25">
      <c r="A5" s="8">
        <v>-93</v>
      </c>
      <c r="B5" s="8">
        <v>43</v>
      </c>
      <c r="C5" s="8" t="s">
        <v>28</v>
      </c>
      <c r="D5" s="8" t="s">
        <v>29</v>
      </c>
      <c r="E5" s="8">
        <v>6356498483</v>
      </c>
      <c r="F5" s="9">
        <v>635649848309</v>
      </c>
      <c r="G5" s="8" t="s">
        <v>49</v>
      </c>
      <c r="H5" s="8" t="s">
        <v>50</v>
      </c>
      <c r="I5" s="10">
        <v>45852</v>
      </c>
      <c r="J5" s="10">
        <v>45852</v>
      </c>
      <c r="K5" s="8" t="s">
        <v>46</v>
      </c>
      <c r="L5" s="11">
        <v>2130</v>
      </c>
      <c r="M5" s="8">
        <v>221</v>
      </c>
      <c r="N5" s="8" t="s">
        <v>33</v>
      </c>
      <c r="O5" s="8" t="s">
        <v>34</v>
      </c>
      <c r="P5" s="8" t="s">
        <v>35</v>
      </c>
      <c r="Q5" s="8">
        <v>3</v>
      </c>
      <c r="R5" s="8"/>
      <c r="S5" s="8">
        <v>820879</v>
      </c>
      <c r="T5" s="8"/>
      <c r="U5" s="8">
        <v>137753468</v>
      </c>
      <c r="V5" s="8" t="s">
        <v>51</v>
      </c>
      <c r="W5" s="8" t="s">
        <v>52</v>
      </c>
      <c r="X5" s="8"/>
      <c r="Y5" s="11">
        <v>643.38</v>
      </c>
      <c r="Z5" s="8" t="str">
        <f t="shared" si="0"/>
        <v>Skip</v>
      </c>
      <c r="AG5" s="2">
        <v>6387078649</v>
      </c>
    </row>
    <row r="6" spans="1:33" ht="15" x14ac:dyDescent="0.25">
      <c r="A6" s="8">
        <v>-17</v>
      </c>
      <c r="B6" s="8">
        <v>34</v>
      </c>
      <c r="C6" s="8" t="s">
        <v>28</v>
      </c>
      <c r="D6" s="8" t="s">
        <v>29</v>
      </c>
      <c r="E6" s="8">
        <v>6397792159</v>
      </c>
      <c r="F6" s="9">
        <v>639779215903</v>
      </c>
      <c r="G6" s="8" t="s">
        <v>53</v>
      </c>
      <c r="H6" s="8" t="s">
        <v>54</v>
      </c>
      <c r="I6" s="10">
        <v>46079</v>
      </c>
      <c r="J6" s="10">
        <v>46079</v>
      </c>
      <c r="K6" s="8" t="s">
        <v>46</v>
      </c>
      <c r="L6" s="11">
        <v>424</v>
      </c>
      <c r="M6" s="8">
        <v>221</v>
      </c>
      <c r="N6" s="8" t="s">
        <v>33</v>
      </c>
      <c r="O6" s="8" t="s">
        <v>34</v>
      </c>
      <c r="P6" s="8" t="s">
        <v>35</v>
      </c>
      <c r="Q6" s="8">
        <v>3</v>
      </c>
      <c r="R6" s="8"/>
      <c r="S6" s="8">
        <v>833766</v>
      </c>
      <c r="T6" s="8"/>
      <c r="U6" s="8">
        <v>139867491</v>
      </c>
      <c r="V6" s="8" t="s">
        <v>47</v>
      </c>
      <c r="W6" s="8" t="s">
        <v>48</v>
      </c>
      <c r="X6" s="8"/>
      <c r="Y6" s="11">
        <v>424</v>
      </c>
      <c r="Z6" s="8" t="str">
        <f t="shared" si="0"/>
        <v>Skip</v>
      </c>
      <c r="AG6" s="2">
        <v>6397792159</v>
      </c>
    </row>
    <row r="7" spans="1:33" ht="15" x14ac:dyDescent="0.25">
      <c r="A7" s="8">
        <v>59</v>
      </c>
      <c r="B7" s="8">
        <v>27</v>
      </c>
      <c r="C7" s="8" t="s">
        <v>28</v>
      </c>
      <c r="D7" s="8" t="s">
        <v>29</v>
      </c>
      <c r="E7" s="8">
        <v>6412005743</v>
      </c>
      <c r="F7" s="9">
        <v>641200574301</v>
      </c>
      <c r="G7" s="8" t="s">
        <v>55</v>
      </c>
      <c r="H7" s="8" t="s">
        <v>56</v>
      </c>
      <c r="I7" s="10">
        <v>46161</v>
      </c>
      <c r="J7" s="10">
        <v>46161</v>
      </c>
      <c r="K7" s="8" t="s">
        <v>32</v>
      </c>
      <c r="L7" s="11">
        <v>581</v>
      </c>
      <c r="M7" s="8">
        <v>131</v>
      </c>
      <c r="N7" s="8" t="s">
        <v>57</v>
      </c>
      <c r="O7" s="8" t="s">
        <v>41</v>
      </c>
      <c r="P7" s="8" t="s">
        <v>35</v>
      </c>
      <c r="Q7" s="8">
        <v>24</v>
      </c>
      <c r="R7" s="8"/>
      <c r="S7" s="8">
        <v>835558</v>
      </c>
      <c r="T7" s="8"/>
      <c r="U7" s="8">
        <v>140175471</v>
      </c>
      <c r="V7" s="8" t="s">
        <v>58</v>
      </c>
      <c r="W7" s="8" t="s">
        <v>59</v>
      </c>
      <c r="X7" s="8"/>
      <c r="Y7" s="11">
        <v>0</v>
      </c>
      <c r="Z7" s="8" t="str">
        <f t="shared" si="0"/>
        <v>Skip</v>
      </c>
      <c r="AG7" s="2">
        <v>6382946435</v>
      </c>
    </row>
    <row r="8" spans="1:33" ht="15" x14ac:dyDescent="0.25">
      <c r="A8" s="8">
        <v>60</v>
      </c>
      <c r="B8" s="8">
        <v>24</v>
      </c>
      <c r="C8" s="8" t="s">
        <v>28</v>
      </c>
      <c r="D8" s="8" t="s">
        <v>29</v>
      </c>
      <c r="E8" s="8">
        <v>6410256288</v>
      </c>
      <c r="F8" s="9">
        <v>641025628802</v>
      </c>
      <c r="G8" s="8" t="s">
        <v>60</v>
      </c>
      <c r="H8" s="8" t="s">
        <v>61</v>
      </c>
      <c r="I8" s="10">
        <v>46155</v>
      </c>
      <c r="J8" s="10">
        <v>46155</v>
      </c>
      <c r="K8" s="8" t="s">
        <v>32</v>
      </c>
      <c r="L8" s="11">
        <v>953</v>
      </c>
      <c r="M8" s="8">
        <v>131</v>
      </c>
      <c r="N8" s="8" t="s">
        <v>57</v>
      </c>
      <c r="O8" s="8" t="s">
        <v>41</v>
      </c>
      <c r="P8" s="8" t="s">
        <v>35</v>
      </c>
      <c r="Q8" s="8">
        <v>24</v>
      </c>
      <c r="R8" s="8"/>
      <c r="S8" s="8">
        <v>835957</v>
      </c>
      <c r="T8" s="8"/>
      <c r="U8" s="8">
        <v>140246891</v>
      </c>
      <c r="V8" s="8" t="s">
        <v>62</v>
      </c>
      <c r="W8" s="8" t="s">
        <v>63</v>
      </c>
      <c r="X8" s="8"/>
      <c r="Y8" s="11">
        <v>0</v>
      </c>
      <c r="Z8" s="8" t="str">
        <f t="shared" si="0"/>
        <v>Skip</v>
      </c>
      <c r="AG8" s="2">
        <v>6394307481</v>
      </c>
    </row>
    <row r="9" spans="1:33" ht="15" x14ac:dyDescent="0.25">
      <c r="A9" s="8">
        <v>62</v>
      </c>
      <c r="B9" s="8">
        <v>22</v>
      </c>
      <c r="C9" s="8" t="s">
        <v>28</v>
      </c>
      <c r="D9" s="8" t="s">
        <v>29</v>
      </c>
      <c r="E9" s="8">
        <v>6412794545</v>
      </c>
      <c r="F9" s="9">
        <v>641279454501</v>
      </c>
      <c r="G9" s="8" t="s">
        <v>64</v>
      </c>
      <c r="H9" s="8" t="s">
        <v>65</v>
      </c>
      <c r="I9" s="10">
        <v>46165</v>
      </c>
      <c r="J9" s="10">
        <v>46165</v>
      </c>
      <c r="K9" s="8" t="s">
        <v>32</v>
      </c>
      <c r="L9" s="11">
        <v>2113</v>
      </c>
      <c r="M9" s="8">
        <v>131</v>
      </c>
      <c r="N9" s="8" t="s">
        <v>57</v>
      </c>
      <c r="O9" s="8" t="s">
        <v>41</v>
      </c>
      <c r="P9" s="8" t="s">
        <v>35</v>
      </c>
      <c r="Q9" s="8">
        <v>24</v>
      </c>
      <c r="R9" s="8"/>
      <c r="S9" s="8">
        <v>836484</v>
      </c>
      <c r="T9" s="8"/>
      <c r="U9" s="8">
        <v>140333705</v>
      </c>
      <c r="V9" s="8" t="s">
        <v>66</v>
      </c>
      <c r="W9" s="8" t="s">
        <v>67</v>
      </c>
      <c r="X9" s="8"/>
      <c r="Y9" s="11">
        <v>0</v>
      </c>
      <c r="Z9" s="8" t="str">
        <f t="shared" si="0"/>
        <v>Skip</v>
      </c>
      <c r="AG9" s="2">
        <v>6369680901</v>
      </c>
    </row>
    <row r="10" spans="1:33" ht="15" x14ac:dyDescent="0.25">
      <c r="A10" s="8">
        <v>60</v>
      </c>
      <c r="B10" s="8">
        <v>18</v>
      </c>
      <c r="C10" s="8" t="s">
        <v>28</v>
      </c>
      <c r="D10" s="8" t="s">
        <v>29</v>
      </c>
      <c r="E10" s="8">
        <v>6412494566</v>
      </c>
      <c r="F10" s="9">
        <v>641249456601</v>
      </c>
      <c r="G10" s="8" t="s">
        <v>68</v>
      </c>
      <c r="H10" s="8" t="s">
        <v>69</v>
      </c>
      <c r="I10" s="10">
        <v>46163</v>
      </c>
      <c r="J10" s="10">
        <v>46163</v>
      </c>
      <c r="K10" s="8" t="s">
        <v>32</v>
      </c>
      <c r="L10" s="11">
        <v>456</v>
      </c>
      <c r="M10" s="8">
        <v>131</v>
      </c>
      <c r="N10" s="8" t="s">
        <v>57</v>
      </c>
      <c r="O10" s="8" t="s">
        <v>41</v>
      </c>
      <c r="P10" s="8" t="s">
        <v>35</v>
      </c>
      <c r="Q10" s="8">
        <v>24</v>
      </c>
      <c r="R10" s="8"/>
      <c r="S10" s="8">
        <v>835957</v>
      </c>
      <c r="T10" s="8"/>
      <c r="U10" s="8">
        <v>140247218</v>
      </c>
      <c r="V10" s="8" t="s">
        <v>70</v>
      </c>
      <c r="W10" s="8" t="s">
        <v>71</v>
      </c>
      <c r="X10" s="8"/>
      <c r="Y10" s="11">
        <v>0</v>
      </c>
      <c r="Z10" s="8" t="str">
        <f t="shared" si="0"/>
        <v>Skip</v>
      </c>
      <c r="AG10" s="2">
        <v>6394304393</v>
      </c>
    </row>
    <row r="11" spans="1:33" ht="15" x14ac:dyDescent="0.25">
      <c r="A11" s="8">
        <v>60</v>
      </c>
      <c r="B11" s="8">
        <v>18</v>
      </c>
      <c r="C11" s="8" t="s">
        <v>28</v>
      </c>
      <c r="D11" s="8" t="s">
        <v>29</v>
      </c>
      <c r="E11" s="8">
        <v>6412175886</v>
      </c>
      <c r="F11" s="9">
        <v>641217588601</v>
      </c>
      <c r="G11" s="8" t="s">
        <v>72</v>
      </c>
      <c r="H11" s="8" t="s">
        <v>73</v>
      </c>
      <c r="I11" s="10">
        <v>46163</v>
      </c>
      <c r="J11" s="10">
        <v>46163</v>
      </c>
      <c r="K11" s="8" t="s">
        <v>32</v>
      </c>
      <c r="L11" s="11">
        <v>689</v>
      </c>
      <c r="M11" s="8">
        <v>131</v>
      </c>
      <c r="N11" s="8" t="s">
        <v>74</v>
      </c>
      <c r="O11" s="8" t="s">
        <v>41</v>
      </c>
      <c r="P11" s="8" t="s">
        <v>35</v>
      </c>
      <c r="Q11" s="8">
        <v>24</v>
      </c>
      <c r="R11" s="8"/>
      <c r="S11" s="8">
        <v>835957</v>
      </c>
      <c r="T11" s="8"/>
      <c r="U11" s="8">
        <v>140246972</v>
      </c>
      <c r="V11" s="8" t="s">
        <v>75</v>
      </c>
      <c r="W11" s="8" t="s">
        <v>76</v>
      </c>
      <c r="X11" s="8"/>
      <c r="Y11" s="11">
        <v>0</v>
      </c>
      <c r="Z11" s="8" t="str">
        <f t="shared" si="0"/>
        <v>Skip</v>
      </c>
      <c r="AG11" s="2">
        <v>6404681567</v>
      </c>
    </row>
    <row r="12" spans="1:33" ht="15" x14ac:dyDescent="0.25">
      <c r="A12" s="8">
        <v>67</v>
      </c>
      <c r="B12" s="8">
        <v>17</v>
      </c>
      <c r="C12" s="8" t="s">
        <v>28</v>
      </c>
      <c r="D12" s="8" t="s">
        <v>29</v>
      </c>
      <c r="E12" s="8">
        <v>6412056363</v>
      </c>
      <c r="F12" s="9">
        <v>641205636306</v>
      </c>
      <c r="G12" s="8" t="s">
        <v>77</v>
      </c>
      <c r="H12" s="8" t="s">
        <v>78</v>
      </c>
      <c r="I12" s="10">
        <v>46162</v>
      </c>
      <c r="J12" s="10">
        <v>46164</v>
      </c>
      <c r="K12" s="8" t="s">
        <v>46</v>
      </c>
      <c r="L12" s="11">
        <v>2054</v>
      </c>
      <c r="M12" s="8">
        <v>211</v>
      </c>
      <c r="N12" s="8" t="s">
        <v>33</v>
      </c>
      <c r="O12" s="8" t="s">
        <v>34</v>
      </c>
      <c r="P12" s="8" t="s">
        <v>35</v>
      </c>
      <c r="Q12" s="8">
        <v>3</v>
      </c>
      <c r="R12" s="8"/>
      <c r="S12" s="8">
        <v>837537</v>
      </c>
      <c r="T12" s="8"/>
      <c r="U12" s="8">
        <v>140510693</v>
      </c>
      <c r="V12" s="8" t="s">
        <v>79</v>
      </c>
      <c r="W12" s="8"/>
      <c r="X12" s="8"/>
      <c r="Y12" s="11">
        <v>97.08</v>
      </c>
      <c r="Z12" s="8" t="str">
        <f t="shared" si="0"/>
        <v>Skip</v>
      </c>
      <c r="AG12" s="2">
        <v>6411477920</v>
      </c>
    </row>
    <row r="13" spans="1:33" ht="15" x14ac:dyDescent="0.25">
      <c r="A13" s="8">
        <v>72</v>
      </c>
      <c r="B13" s="8">
        <v>16</v>
      </c>
      <c r="C13" s="8" t="s">
        <v>28</v>
      </c>
      <c r="D13" s="8" t="s">
        <v>80</v>
      </c>
      <c r="E13" s="8">
        <v>6414735306</v>
      </c>
      <c r="F13" s="9">
        <v>641473530601</v>
      </c>
      <c r="G13" s="8" t="s">
        <v>81</v>
      </c>
      <c r="H13" s="8" t="s">
        <v>82</v>
      </c>
      <c r="I13" s="10">
        <v>46178</v>
      </c>
      <c r="J13" s="10">
        <v>46178</v>
      </c>
      <c r="K13" s="8" t="s">
        <v>46</v>
      </c>
      <c r="L13" s="11">
        <v>142</v>
      </c>
      <c r="M13" s="8">
        <v>221</v>
      </c>
      <c r="N13" s="8" t="s">
        <v>33</v>
      </c>
      <c r="O13" s="8" t="s">
        <v>41</v>
      </c>
      <c r="P13" s="8" t="s">
        <v>35</v>
      </c>
      <c r="Q13" s="8">
        <v>3</v>
      </c>
      <c r="R13" s="8"/>
      <c r="S13" s="8">
        <v>836714</v>
      </c>
      <c r="T13" s="8"/>
      <c r="U13" s="8">
        <v>140355427</v>
      </c>
      <c r="V13" s="8" t="s">
        <v>83</v>
      </c>
      <c r="W13" s="8" t="s">
        <v>84</v>
      </c>
      <c r="X13" s="8"/>
      <c r="Y13" s="11">
        <v>20</v>
      </c>
      <c r="Z13" s="8" t="str">
        <f t="shared" si="0"/>
        <v>Skip</v>
      </c>
      <c r="AG13" s="2">
        <v>6408350055</v>
      </c>
    </row>
    <row r="14" spans="1:33" ht="15" x14ac:dyDescent="0.25">
      <c r="A14" s="8">
        <v>72</v>
      </c>
      <c r="B14" s="8">
        <v>16</v>
      </c>
      <c r="C14" s="8" t="s">
        <v>28</v>
      </c>
      <c r="D14" s="8" t="s">
        <v>80</v>
      </c>
      <c r="E14" s="8">
        <v>6413398638</v>
      </c>
      <c r="F14" s="9">
        <v>641339863801</v>
      </c>
      <c r="G14" s="8" t="s">
        <v>81</v>
      </c>
      <c r="H14" s="8" t="s">
        <v>82</v>
      </c>
      <c r="I14" s="10">
        <v>46175</v>
      </c>
      <c r="J14" s="10">
        <v>46175</v>
      </c>
      <c r="K14" s="8" t="s">
        <v>46</v>
      </c>
      <c r="L14" s="11">
        <v>142</v>
      </c>
      <c r="M14" s="8">
        <v>221</v>
      </c>
      <c r="N14" s="8" t="s">
        <v>33</v>
      </c>
      <c r="O14" s="8" t="s">
        <v>41</v>
      </c>
      <c r="P14" s="8" t="s">
        <v>35</v>
      </c>
      <c r="Q14" s="8">
        <v>3</v>
      </c>
      <c r="R14" s="8"/>
      <c r="S14" s="8">
        <v>836714</v>
      </c>
      <c r="T14" s="8"/>
      <c r="U14" s="8">
        <v>140355426</v>
      </c>
      <c r="V14" s="8" t="s">
        <v>83</v>
      </c>
      <c r="W14" s="8" t="s">
        <v>84</v>
      </c>
      <c r="X14" s="8"/>
      <c r="Y14" s="11">
        <v>20</v>
      </c>
      <c r="Z14" s="8" t="str">
        <f t="shared" si="0"/>
        <v>Skip</v>
      </c>
      <c r="AG14" s="2">
        <v>6407324163</v>
      </c>
    </row>
    <row r="15" spans="1:33" ht="15" x14ac:dyDescent="0.25">
      <c r="A15" s="8">
        <v>53</v>
      </c>
      <c r="B15" s="8">
        <v>16</v>
      </c>
      <c r="C15" s="8" t="s">
        <v>28</v>
      </c>
      <c r="D15" s="8" t="s">
        <v>29</v>
      </c>
      <c r="E15" s="8">
        <v>6408350055</v>
      </c>
      <c r="F15" s="9">
        <v>640835005503</v>
      </c>
      <c r="G15" s="8" t="s">
        <v>85</v>
      </c>
      <c r="H15" s="8" t="s">
        <v>86</v>
      </c>
      <c r="I15" s="10">
        <v>46149</v>
      </c>
      <c r="J15" s="10">
        <v>46149</v>
      </c>
      <c r="K15" s="8" t="s">
        <v>46</v>
      </c>
      <c r="L15" s="11">
        <v>424</v>
      </c>
      <c r="M15" s="8">
        <v>221</v>
      </c>
      <c r="N15" s="8" t="s">
        <v>33</v>
      </c>
      <c r="O15" s="8" t="s">
        <v>34</v>
      </c>
      <c r="P15" s="8" t="s">
        <v>35</v>
      </c>
      <c r="Q15" s="8">
        <v>3</v>
      </c>
      <c r="R15" s="8"/>
      <c r="S15" s="8">
        <v>836503</v>
      </c>
      <c r="T15" s="8"/>
      <c r="U15" s="8">
        <v>140336727</v>
      </c>
      <c r="V15" s="8" t="s">
        <v>47</v>
      </c>
      <c r="W15" s="8" t="s">
        <v>48</v>
      </c>
      <c r="X15" s="8"/>
      <c r="Y15" s="11">
        <v>424</v>
      </c>
      <c r="Z15" s="8" t="str">
        <f t="shared" si="0"/>
        <v>Skip</v>
      </c>
      <c r="AG15" s="2">
        <v>6399448759</v>
      </c>
    </row>
    <row r="16" spans="1:33" ht="15" x14ac:dyDescent="0.25">
      <c r="A16" s="8">
        <v>62</v>
      </c>
      <c r="B16" s="8">
        <v>16</v>
      </c>
      <c r="C16" s="8" t="s">
        <v>28</v>
      </c>
      <c r="D16" s="8" t="s">
        <v>29</v>
      </c>
      <c r="E16" s="8">
        <v>6407979899</v>
      </c>
      <c r="F16" s="9">
        <v>640797989901</v>
      </c>
      <c r="G16" s="8" t="s">
        <v>87</v>
      </c>
      <c r="H16" s="8" t="s">
        <v>88</v>
      </c>
      <c r="I16" s="10">
        <v>46168</v>
      </c>
      <c r="J16" s="10">
        <v>46168</v>
      </c>
      <c r="K16" s="8" t="s">
        <v>32</v>
      </c>
      <c r="L16" s="11">
        <v>575</v>
      </c>
      <c r="M16" s="8">
        <v>131</v>
      </c>
      <c r="N16" s="8" t="s">
        <v>74</v>
      </c>
      <c r="O16" s="8" t="s">
        <v>41</v>
      </c>
      <c r="P16" s="8" t="s">
        <v>35</v>
      </c>
      <c r="Q16" s="8">
        <v>24</v>
      </c>
      <c r="R16" s="8"/>
      <c r="S16" s="8">
        <v>836484</v>
      </c>
      <c r="T16" s="8"/>
      <c r="U16" s="8">
        <v>140333646</v>
      </c>
      <c r="V16" s="8" t="s">
        <v>89</v>
      </c>
      <c r="W16" s="8" t="s">
        <v>90</v>
      </c>
      <c r="X16" s="8"/>
      <c r="Y16" s="11">
        <v>0</v>
      </c>
      <c r="Z16" s="8" t="str">
        <f t="shared" si="0"/>
        <v>Skip</v>
      </c>
      <c r="AG16" s="2">
        <v>6408184593</v>
      </c>
    </row>
    <row r="17" spans="1:33" ht="15" x14ac:dyDescent="0.25">
      <c r="A17" s="8">
        <v>74</v>
      </c>
      <c r="B17" s="8">
        <v>15</v>
      </c>
      <c r="C17" s="8" t="s">
        <v>28</v>
      </c>
      <c r="D17" s="8" t="s">
        <v>80</v>
      </c>
      <c r="E17" s="8">
        <v>6402618599</v>
      </c>
      <c r="F17" s="9">
        <v>640261859901</v>
      </c>
      <c r="G17" s="8" t="s">
        <v>91</v>
      </c>
      <c r="H17" s="8" t="s">
        <v>92</v>
      </c>
      <c r="I17" s="10">
        <v>46177</v>
      </c>
      <c r="J17" s="10">
        <v>46177</v>
      </c>
      <c r="K17" s="8" t="s">
        <v>46</v>
      </c>
      <c r="L17" s="11">
        <v>626</v>
      </c>
      <c r="M17" s="8">
        <v>191</v>
      </c>
      <c r="N17" s="8" t="s">
        <v>33</v>
      </c>
      <c r="O17" s="8" t="s">
        <v>41</v>
      </c>
      <c r="P17" s="8" t="s">
        <v>35</v>
      </c>
      <c r="Q17" s="8">
        <v>3</v>
      </c>
      <c r="R17" s="8"/>
      <c r="S17" s="8">
        <v>838284</v>
      </c>
      <c r="T17" s="8"/>
      <c r="U17" s="8">
        <v>140601670</v>
      </c>
      <c r="V17" s="8" t="s">
        <v>93</v>
      </c>
      <c r="W17" s="8" t="s">
        <v>94</v>
      </c>
      <c r="X17" s="8"/>
      <c r="Y17" s="11">
        <v>39.869999999999997</v>
      </c>
      <c r="Z17" s="8" t="str">
        <f t="shared" si="0"/>
        <v>Work</v>
      </c>
      <c r="AG17" s="2">
        <v>6396204365</v>
      </c>
    </row>
    <row r="18" spans="1:33" ht="15" x14ac:dyDescent="0.25">
      <c r="A18" s="8">
        <v>75</v>
      </c>
      <c r="B18" s="8">
        <v>15</v>
      </c>
      <c r="C18" s="8" t="s">
        <v>28</v>
      </c>
      <c r="D18" s="8" t="s">
        <v>80</v>
      </c>
      <c r="E18" s="8">
        <v>6398519063</v>
      </c>
      <c r="F18" s="9">
        <v>639851906303</v>
      </c>
      <c r="G18" s="8" t="s">
        <v>95</v>
      </c>
      <c r="H18" s="8" t="s">
        <v>96</v>
      </c>
      <c r="I18" s="10">
        <v>46164</v>
      </c>
      <c r="J18" s="10">
        <v>46164</v>
      </c>
      <c r="K18" s="8" t="s">
        <v>32</v>
      </c>
      <c r="L18" s="11">
        <v>743</v>
      </c>
      <c r="M18" s="8">
        <v>137</v>
      </c>
      <c r="N18" s="8" t="s">
        <v>33</v>
      </c>
      <c r="O18" s="8" t="s">
        <v>41</v>
      </c>
      <c r="P18" s="8" t="s">
        <v>35</v>
      </c>
      <c r="Q18" s="8">
        <v>3</v>
      </c>
      <c r="R18" s="8"/>
      <c r="S18" s="8">
        <v>838132</v>
      </c>
      <c r="T18" s="8"/>
      <c r="U18" s="8">
        <v>140581938</v>
      </c>
      <c r="V18" s="8" t="s">
        <v>97</v>
      </c>
      <c r="W18" s="8" t="s">
        <v>98</v>
      </c>
      <c r="X18" s="8"/>
      <c r="Y18" s="11">
        <v>31.52</v>
      </c>
      <c r="Z18" s="8" t="str">
        <f t="shared" si="0"/>
        <v>Work</v>
      </c>
      <c r="AG18" s="2">
        <v>6411656727</v>
      </c>
    </row>
    <row r="19" spans="1:33" ht="15" x14ac:dyDescent="0.25">
      <c r="A19" s="8">
        <v>75</v>
      </c>
      <c r="B19" s="8">
        <v>15</v>
      </c>
      <c r="C19" s="8" t="s">
        <v>28</v>
      </c>
      <c r="D19" s="8" t="s">
        <v>80</v>
      </c>
      <c r="E19" s="8">
        <v>6411271434</v>
      </c>
      <c r="F19" s="9">
        <v>641127143402</v>
      </c>
      <c r="G19" s="8" t="s">
        <v>99</v>
      </c>
      <c r="H19" s="8" t="s">
        <v>78</v>
      </c>
      <c r="I19" s="10">
        <v>46156</v>
      </c>
      <c r="J19" s="10">
        <v>46156</v>
      </c>
      <c r="K19" s="8" t="s">
        <v>32</v>
      </c>
      <c r="L19" s="11">
        <v>762</v>
      </c>
      <c r="M19" s="8">
        <v>137</v>
      </c>
      <c r="N19" s="8" t="s">
        <v>100</v>
      </c>
      <c r="O19" s="8" t="s">
        <v>41</v>
      </c>
      <c r="P19" s="8" t="s">
        <v>35</v>
      </c>
      <c r="Q19" s="8">
        <v>26</v>
      </c>
      <c r="R19" s="8"/>
      <c r="S19" s="8">
        <v>838125</v>
      </c>
      <c r="T19" s="8"/>
      <c r="U19" s="8">
        <v>140580537</v>
      </c>
      <c r="V19" s="8" t="s">
        <v>101</v>
      </c>
      <c r="W19" s="8" t="s">
        <v>102</v>
      </c>
      <c r="X19" s="8"/>
      <c r="Y19" s="11">
        <v>26.71</v>
      </c>
      <c r="Z19" s="8" t="str">
        <f t="shared" si="0"/>
        <v>Work</v>
      </c>
      <c r="AG19" s="2">
        <v>6411003518</v>
      </c>
    </row>
    <row r="20" spans="1:33" ht="15" x14ac:dyDescent="0.25">
      <c r="A20" s="8">
        <v>68</v>
      </c>
      <c r="B20" s="8">
        <v>15</v>
      </c>
      <c r="C20" s="8" t="s">
        <v>28</v>
      </c>
      <c r="D20" s="8" t="s">
        <v>80</v>
      </c>
      <c r="E20" s="8">
        <v>6403739672</v>
      </c>
      <c r="F20" s="9">
        <v>640373967201</v>
      </c>
      <c r="G20" s="8" t="s">
        <v>103</v>
      </c>
      <c r="H20" s="8" t="s">
        <v>104</v>
      </c>
      <c r="I20" s="10">
        <v>46143</v>
      </c>
      <c r="J20" s="10">
        <v>46154</v>
      </c>
      <c r="K20" s="8" t="s">
        <v>32</v>
      </c>
      <c r="L20" s="11">
        <v>2141</v>
      </c>
      <c r="M20" s="8">
        <v>131</v>
      </c>
      <c r="N20" s="8" t="s">
        <v>57</v>
      </c>
      <c r="O20" s="8" t="s">
        <v>41</v>
      </c>
      <c r="P20" s="8" t="s">
        <v>35</v>
      </c>
      <c r="Q20" s="8">
        <v>24</v>
      </c>
      <c r="R20" s="8"/>
      <c r="S20" s="8">
        <v>836761</v>
      </c>
      <c r="T20" s="8"/>
      <c r="U20" s="8">
        <v>140363667</v>
      </c>
      <c r="V20" s="8" t="s">
        <v>105</v>
      </c>
      <c r="W20" s="8" t="s">
        <v>106</v>
      </c>
      <c r="X20" s="8"/>
      <c r="Y20" s="11">
        <v>59</v>
      </c>
      <c r="Z20" s="8" t="str">
        <f t="shared" si="0"/>
        <v>Skip</v>
      </c>
      <c r="AG20" s="2">
        <v>6412005743</v>
      </c>
    </row>
    <row r="21" spans="1:33" ht="15" x14ac:dyDescent="0.25">
      <c r="A21" s="8">
        <v>-17</v>
      </c>
      <c r="B21" s="8">
        <v>11</v>
      </c>
      <c r="C21" s="8" t="s">
        <v>28</v>
      </c>
      <c r="D21" s="8" t="s">
        <v>29</v>
      </c>
      <c r="E21" s="8">
        <v>6397818993</v>
      </c>
      <c r="F21" s="9">
        <v>639781899304</v>
      </c>
      <c r="G21" s="8" t="s">
        <v>107</v>
      </c>
      <c r="H21" s="8" t="s">
        <v>108</v>
      </c>
      <c r="I21" s="10">
        <v>46086</v>
      </c>
      <c r="J21" s="10">
        <v>46086</v>
      </c>
      <c r="K21" s="8" t="s">
        <v>32</v>
      </c>
      <c r="L21" s="11">
        <v>4426.38</v>
      </c>
      <c r="M21" s="8">
        <v>131</v>
      </c>
      <c r="N21" s="8" t="s">
        <v>109</v>
      </c>
      <c r="O21" s="8" t="s">
        <v>41</v>
      </c>
      <c r="P21" s="8" t="s">
        <v>35</v>
      </c>
      <c r="Q21" s="8">
        <v>20</v>
      </c>
      <c r="R21" s="8"/>
      <c r="S21" s="8">
        <v>838713</v>
      </c>
      <c r="T21" s="8"/>
      <c r="U21" s="8">
        <v>140674394</v>
      </c>
      <c r="V21" s="8" t="s">
        <v>110</v>
      </c>
      <c r="W21" s="8" t="s">
        <v>111</v>
      </c>
      <c r="X21" s="8"/>
      <c r="Y21" s="11">
        <v>0</v>
      </c>
      <c r="Z21" s="8" t="str">
        <f t="shared" si="0"/>
        <v>Skip</v>
      </c>
      <c r="AG21" s="2">
        <v>6410256288</v>
      </c>
    </row>
    <row r="22" spans="1:33" ht="15" x14ac:dyDescent="0.25">
      <c r="A22" s="8">
        <v>81</v>
      </c>
      <c r="B22" s="8">
        <v>9</v>
      </c>
      <c r="C22" s="8" t="s">
        <v>28</v>
      </c>
      <c r="D22" s="8" t="s">
        <v>80</v>
      </c>
      <c r="E22" s="8">
        <v>6411089878</v>
      </c>
      <c r="F22" s="9">
        <v>641108987804</v>
      </c>
      <c r="G22" s="8" t="s">
        <v>112</v>
      </c>
      <c r="H22" s="8" t="s">
        <v>113</v>
      </c>
      <c r="I22" s="10">
        <v>46185</v>
      </c>
      <c r="J22" s="10">
        <v>46185</v>
      </c>
      <c r="K22" s="8" t="s">
        <v>46</v>
      </c>
      <c r="L22" s="11">
        <v>557</v>
      </c>
      <c r="M22" s="8">
        <v>221</v>
      </c>
      <c r="N22" s="8" t="s">
        <v>33</v>
      </c>
      <c r="O22" s="8" t="s">
        <v>41</v>
      </c>
      <c r="P22" s="8" t="s">
        <v>35</v>
      </c>
      <c r="Q22" s="8">
        <v>3</v>
      </c>
      <c r="R22" s="8"/>
      <c r="S22" s="8">
        <v>839407</v>
      </c>
      <c r="T22" s="8"/>
      <c r="U22" s="8">
        <v>140798163</v>
      </c>
      <c r="V22" s="8" t="s">
        <v>114</v>
      </c>
      <c r="W22" s="8" t="s">
        <v>115</v>
      </c>
      <c r="X22" s="8"/>
      <c r="Y22" s="11">
        <v>23.01</v>
      </c>
      <c r="Z22" s="8" t="str">
        <f t="shared" si="0"/>
        <v>Skip</v>
      </c>
      <c r="AG22" s="2">
        <v>6412175886</v>
      </c>
    </row>
    <row r="23" spans="1:33" ht="15" x14ac:dyDescent="0.25">
      <c r="A23" s="8">
        <v>76</v>
      </c>
      <c r="B23" s="8">
        <v>8</v>
      </c>
      <c r="C23" s="8" t="s">
        <v>28</v>
      </c>
      <c r="D23" s="8" t="s">
        <v>29</v>
      </c>
      <c r="E23" s="8">
        <v>6414676908</v>
      </c>
      <c r="F23" s="9">
        <v>641467690801</v>
      </c>
      <c r="G23" s="8" t="s">
        <v>116</v>
      </c>
      <c r="H23" s="8" t="s">
        <v>88</v>
      </c>
      <c r="I23" s="10">
        <v>46182</v>
      </c>
      <c r="J23" s="10">
        <v>46182</v>
      </c>
      <c r="K23" s="8" t="s">
        <v>32</v>
      </c>
      <c r="L23" s="11">
        <v>176</v>
      </c>
      <c r="M23" s="8">
        <v>131</v>
      </c>
      <c r="N23" s="8" t="s">
        <v>57</v>
      </c>
      <c r="O23" s="8" t="s">
        <v>41</v>
      </c>
      <c r="P23" s="8" t="s">
        <v>35</v>
      </c>
      <c r="Q23" s="8">
        <v>24</v>
      </c>
      <c r="R23" s="8"/>
      <c r="S23" s="8">
        <v>839657</v>
      </c>
      <c r="T23" s="8"/>
      <c r="U23" s="8">
        <v>140841287</v>
      </c>
      <c r="V23" s="8" t="s">
        <v>97</v>
      </c>
      <c r="W23" s="8" t="s">
        <v>117</v>
      </c>
      <c r="X23" s="8"/>
      <c r="Y23" s="11">
        <v>0</v>
      </c>
      <c r="Z23" s="8" t="str">
        <f t="shared" si="0"/>
        <v>Skip</v>
      </c>
      <c r="AG23" s="2">
        <v>6412494566</v>
      </c>
    </row>
    <row r="24" spans="1:33" ht="15" x14ac:dyDescent="0.25">
      <c r="A24" s="8">
        <v>82</v>
      </c>
      <c r="B24" s="8">
        <v>8</v>
      </c>
      <c r="C24" s="8" t="s">
        <v>28</v>
      </c>
      <c r="D24" s="8" t="s">
        <v>80</v>
      </c>
      <c r="E24" s="8">
        <v>6416022996</v>
      </c>
      <c r="F24" s="9">
        <v>641602299601</v>
      </c>
      <c r="G24" s="8" t="s">
        <v>118</v>
      </c>
      <c r="H24" s="8" t="s">
        <v>119</v>
      </c>
      <c r="I24" s="10">
        <v>46185</v>
      </c>
      <c r="J24" s="10">
        <v>46185</v>
      </c>
      <c r="K24" s="8" t="s">
        <v>32</v>
      </c>
      <c r="L24" s="11">
        <v>1675</v>
      </c>
      <c r="M24" s="8">
        <v>131</v>
      </c>
      <c r="N24" s="8" t="s">
        <v>40</v>
      </c>
      <c r="O24" s="8" t="s">
        <v>41</v>
      </c>
      <c r="P24" s="8" t="s">
        <v>35</v>
      </c>
      <c r="Q24" s="8">
        <v>24</v>
      </c>
      <c r="R24" s="8"/>
      <c r="S24" s="8">
        <v>839643</v>
      </c>
      <c r="T24" s="8"/>
      <c r="U24" s="8">
        <v>140839273</v>
      </c>
      <c r="V24" s="8" t="s">
        <v>120</v>
      </c>
      <c r="W24" s="8" t="s">
        <v>121</v>
      </c>
      <c r="X24" s="8"/>
      <c r="Y24" s="11">
        <v>24.95</v>
      </c>
      <c r="Z24" s="8" t="str">
        <f t="shared" si="0"/>
        <v>Skip</v>
      </c>
      <c r="AG24" s="2">
        <v>6412732467</v>
      </c>
    </row>
    <row r="25" spans="1:33" ht="15" x14ac:dyDescent="0.25">
      <c r="A25" s="8">
        <v>81</v>
      </c>
      <c r="B25" s="8">
        <v>8</v>
      </c>
      <c r="C25" s="8" t="s">
        <v>28</v>
      </c>
      <c r="D25" s="8" t="s">
        <v>80</v>
      </c>
      <c r="E25" s="8">
        <v>6414803316</v>
      </c>
      <c r="F25" s="9">
        <v>641480331601</v>
      </c>
      <c r="G25" s="8" t="s">
        <v>122</v>
      </c>
      <c r="H25" s="8" t="s">
        <v>123</v>
      </c>
      <c r="I25" s="10">
        <v>46177</v>
      </c>
      <c r="J25" s="10">
        <v>46178</v>
      </c>
      <c r="K25" s="8" t="s">
        <v>32</v>
      </c>
      <c r="L25" s="11">
        <v>7817</v>
      </c>
      <c r="M25" s="8">
        <v>131</v>
      </c>
      <c r="N25" s="8" t="s">
        <v>124</v>
      </c>
      <c r="O25" s="8" t="s">
        <v>41</v>
      </c>
      <c r="P25" s="8" t="s">
        <v>35</v>
      </c>
      <c r="Q25" s="8">
        <v>24</v>
      </c>
      <c r="R25" s="8"/>
      <c r="S25" s="8">
        <v>838738</v>
      </c>
      <c r="T25" s="8"/>
      <c r="U25" s="8">
        <v>140677262</v>
      </c>
      <c r="V25" s="8" t="s">
        <v>125</v>
      </c>
      <c r="W25" s="8" t="s">
        <v>126</v>
      </c>
      <c r="X25" s="8"/>
      <c r="Y25" s="11">
        <v>100</v>
      </c>
      <c r="Z25" s="8" t="str">
        <f t="shared" si="0"/>
        <v>Skip</v>
      </c>
      <c r="AG25" s="2">
        <v>6407979899</v>
      </c>
    </row>
    <row r="26" spans="1:33" ht="15" x14ac:dyDescent="0.25">
      <c r="A26" s="8">
        <v>80</v>
      </c>
      <c r="B26" s="8">
        <v>6</v>
      </c>
      <c r="C26" s="8" t="s">
        <v>28</v>
      </c>
      <c r="D26" s="8" t="s">
        <v>29</v>
      </c>
      <c r="E26" s="8">
        <v>6412992823</v>
      </c>
      <c r="F26" s="9">
        <v>641299282303</v>
      </c>
      <c r="G26" s="8" t="s">
        <v>87</v>
      </c>
      <c r="H26" s="8" t="s">
        <v>88</v>
      </c>
      <c r="I26" s="10">
        <v>46170</v>
      </c>
      <c r="J26" s="10">
        <v>46170</v>
      </c>
      <c r="K26" s="8" t="s">
        <v>32</v>
      </c>
      <c r="L26" s="11">
        <v>1078</v>
      </c>
      <c r="M26" s="8">
        <v>131</v>
      </c>
      <c r="N26" s="8" t="s">
        <v>74</v>
      </c>
      <c r="O26" s="8" t="s">
        <v>41</v>
      </c>
      <c r="P26" s="8" t="s">
        <v>35</v>
      </c>
      <c r="Q26" s="8">
        <v>24</v>
      </c>
      <c r="R26" s="8"/>
      <c r="S26" s="8">
        <v>840171</v>
      </c>
      <c r="T26" s="8"/>
      <c r="U26" s="8">
        <v>140912207</v>
      </c>
      <c r="V26" s="8" t="s">
        <v>127</v>
      </c>
      <c r="W26" s="8" t="s">
        <v>128</v>
      </c>
      <c r="X26" s="8"/>
      <c r="Y26" s="11">
        <v>0</v>
      </c>
      <c r="Z26" s="8" t="str">
        <f t="shared" si="0"/>
        <v>Skip</v>
      </c>
      <c r="AG26" s="2">
        <v>6412794545</v>
      </c>
    </row>
    <row r="27" spans="1:33" ht="15" x14ac:dyDescent="0.25">
      <c r="A27" s="8">
        <v>88</v>
      </c>
      <c r="B27" s="8">
        <v>6</v>
      </c>
      <c r="C27" s="8" t="s">
        <v>28</v>
      </c>
      <c r="D27" s="8" t="s">
        <v>80</v>
      </c>
      <c r="E27" s="8">
        <v>6403184741</v>
      </c>
      <c r="F27" s="9">
        <v>640318474102</v>
      </c>
      <c r="G27" s="8" t="s">
        <v>129</v>
      </c>
      <c r="H27" s="8" t="s">
        <v>130</v>
      </c>
      <c r="I27" s="10">
        <v>46182</v>
      </c>
      <c r="J27" s="10">
        <v>46182</v>
      </c>
      <c r="K27" s="8" t="s">
        <v>32</v>
      </c>
      <c r="L27" s="11">
        <v>1972</v>
      </c>
      <c r="M27" s="8">
        <v>131</v>
      </c>
      <c r="N27" s="8" t="s">
        <v>33</v>
      </c>
      <c r="O27" s="8" t="s">
        <v>41</v>
      </c>
      <c r="P27" s="8" t="s">
        <v>35</v>
      </c>
      <c r="Q27" s="8">
        <v>3</v>
      </c>
      <c r="R27" s="8"/>
      <c r="S27" s="8">
        <v>840097</v>
      </c>
      <c r="T27" s="8"/>
      <c r="U27" s="8">
        <v>140886394</v>
      </c>
      <c r="V27" s="8" t="s">
        <v>131</v>
      </c>
      <c r="W27" s="8" t="s">
        <v>132</v>
      </c>
      <c r="X27" s="8"/>
      <c r="Y27" s="11">
        <v>330.5</v>
      </c>
      <c r="Z27" s="8" t="str">
        <f t="shared" si="0"/>
        <v>Work</v>
      </c>
      <c r="AG27" s="2">
        <v>6412056363</v>
      </c>
    </row>
    <row r="28" spans="1:33" ht="15" x14ac:dyDescent="0.25">
      <c r="A28" s="8">
        <v>59</v>
      </c>
      <c r="B28" s="8">
        <v>4</v>
      </c>
      <c r="C28" s="8" t="s">
        <v>28</v>
      </c>
      <c r="D28" s="8" t="s">
        <v>80</v>
      </c>
      <c r="E28" s="8">
        <v>6418056219</v>
      </c>
      <c r="F28" s="9">
        <v>641805621901</v>
      </c>
      <c r="G28" s="8" t="s">
        <v>133</v>
      </c>
      <c r="H28" s="8" t="s">
        <v>134</v>
      </c>
      <c r="I28" s="10">
        <v>46198</v>
      </c>
      <c r="J28" s="10">
        <v>46198</v>
      </c>
      <c r="K28" s="8" t="s">
        <v>32</v>
      </c>
      <c r="L28" s="11">
        <v>1088.3399999999999</v>
      </c>
      <c r="M28" s="8">
        <v>131</v>
      </c>
      <c r="N28" s="8" t="s">
        <v>135</v>
      </c>
      <c r="O28" s="8" t="s">
        <v>41</v>
      </c>
      <c r="P28" s="8" t="s">
        <v>35</v>
      </c>
      <c r="Q28" s="8">
        <v>11</v>
      </c>
      <c r="R28" s="8"/>
      <c r="S28" s="8">
        <v>840276</v>
      </c>
      <c r="T28" s="8"/>
      <c r="U28" s="8">
        <v>140955662</v>
      </c>
      <c r="V28" s="8" t="s">
        <v>136</v>
      </c>
      <c r="W28" s="8" t="s">
        <v>137</v>
      </c>
      <c r="X28" s="8"/>
      <c r="Y28" s="11">
        <v>324.73</v>
      </c>
      <c r="Z28" s="8" t="str">
        <f t="shared" si="0"/>
        <v>Work</v>
      </c>
      <c r="AG28" s="2">
        <v>6413398638</v>
      </c>
    </row>
    <row r="29" spans="1:33" ht="15" x14ac:dyDescent="0.25">
      <c r="A29" s="8">
        <v>81</v>
      </c>
      <c r="B29" s="8">
        <v>4</v>
      </c>
      <c r="C29" s="8" t="s">
        <v>28</v>
      </c>
      <c r="D29" s="8" t="s">
        <v>29</v>
      </c>
      <c r="E29" s="8">
        <v>6373807361</v>
      </c>
      <c r="F29" s="9">
        <v>637380736101</v>
      </c>
      <c r="G29" s="8" t="s">
        <v>138</v>
      </c>
      <c r="H29" s="8" t="s">
        <v>139</v>
      </c>
      <c r="I29" s="10">
        <v>46184</v>
      </c>
      <c r="J29" s="10">
        <v>46184</v>
      </c>
      <c r="K29" s="8" t="s">
        <v>32</v>
      </c>
      <c r="L29" s="11">
        <v>12401.64</v>
      </c>
      <c r="M29" s="8">
        <v>131</v>
      </c>
      <c r="N29" s="8" t="s">
        <v>57</v>
      </c>
      <c r="O29" s="8" t="s">
        <v>41</v>
      </c>
      <c r="P29" s="8" t="s">
        <v>35</v>
      </c>
      <c r="Q29" s="8">
        <v>24</v>
      </c>
      <c r="R29" s="8"/>
      <c r="S29" s="8">
        <v>840171</v>
      </c>
      <c r="T29" s="8"/>
      <c r="U29" s="8">
        <v>140912465</v>
      </c>
      <c r="V29" s="8" t="s">
        <v>140</v>
      </c>
      <c r="W29" s="8" t="s">
        <v>141</v>
      </c>
      <c r="X29" s="8"/>
      <c r="Y29" s="11">
        <v>0</v>
      </c>
      <c r="Z29" s="8" t="str">
        <f t="shared" si="0"/>
        <v>Skip</v>
      </c>
      <c r="AG29" s="2">
        <v>6414735306</v>
      </c>
    </row>
    <row r="30" spans="1:33" ht="15" x14ac:dyDescent="0.25">
      <c r="A30" s="8">
        <v>89</v>
      </c>
      <c r="B30" s="8">
        <v>3</v>
      </c>
      <c r="C30" s="8" t="s">
        <v>28</v>
      </c>
      <c r="D30" s="8" t="s">
        <v>80</v>
      </c>
      <c r="E30" s="8">
        <v>6403567207</v>
      </c>
      <c r="F30" s="9">
        <v>640356720703</v>
      </c>
      <c r="G30" s="8" t="s">
        <v>142</v>
      </c>
      <c r="H30" s="8" t="s">
        <v>143</v>
      </c>
      <c r="I30" s="10">
        <v>46135</v>
      </c>
      <c r="J30" s="10">
        <v>46135</v>
      </c>
      <c r="K30" s="8" t="s">
        <v>32</v>
      </c>
      <c r="L30" s="11">
        <v>2690.34</v>
      </c>
      <c r="M30" s="8">
        <v>131</v>
      </c>
      <c r="N30" s="8" t="s">
        <v>33</v>
      </c>
      <c r="O30" s="8" t="s">
        <v>41</v>
      </c>
      <c r="P30" s="8" t="s">
        <v>35</v>
      </c>
      <c r="Q30" s="8">
        <v>3</v>
      </c>
      <c r="R30" s="8"/>
      <c r="S30" s="8">
        <v>840754</v>
      </c>
      <c r="T30" s="8"/>
      <c r="U30" s="8">
        <v>141030281</v>
      </c>
      <c r="V30" s="8" t="s">
        <v>144</v>
      </c>
      <c r="W30" s="8" t="s">
        <v>145</v>
      </c>
      <c r="X30" s="8"/>
      <c r="Y30" s="11">
        <v>2479.38</v>
      </c>
      <c r="Z30" s="8" t="str">
        <f t="shared" si="0"/>
        <v>Work</v>
      </c>
      <c r="AG30" s="2">
        <v>6403739672</v>
      </c>
    </row>
    <row r="31" spans="1:33" ht="15" x14ac:dyDescent="0.25">
      <c r="A31" s="8">
        <v>89</v>
      </c>
      <c r="B31" s="8">
        <v>3</v>
      </c>
      <c r="C31" s="8" t="s">
        <v>28</v>
      </c>
      <c r="D31" s="8" t="s">
        <v>80</v>
      </c>
      <c r="E31" s="8">
        <v>6412034608</v>
      </c>
      <c r="F31" s="9">
        <v>641203460801</v>
      </c>
      <c r="G31" s="8" t="s">
        <v>146</v>
      </c>
      <c r="H31" s="8" t="s">
        <v>147</v>
      </c>
      <c r="I31" s="10">
        <v>46177</v>
      </c>
      <c r="J31" s="10">
        <v>46177</v>
      </c>
      <c r="K31" s="8" t="s">
        <v>32</v>
      </c>
      <c r="L31" s="11">
        <v>48610.83</v>
      </c>
      <c r="M31" s="8">
        <v>131</v>
      </c>
      <c r="N31" s="8" t="s">
        <v>148</v>
      </c>
      <c r="O31" s="8" t="s">
        <v>41</v>
      </c>
      <c r="P31" s="8" t="s">
        <v>35</v>
      </c>
      <c r="Q31" s="8">
        <v>11</v>
      </c>
      <c r="R31" s="8"/>
      <c r="S31" s="8">
        <v>840751</v>
      </c>
      <c r="T31" s="8"/>
      <c r="U31" s="8">
        <v>141030276</v>
      </c>
      <c r="V31" s="8" t="s">
        <v>149</v>
      </c>
      <c r="W31" s="8" t="s">
        <v>150</v>
      </c>
      <c r="X31" s="8"/>
      <c r="Y31" s="11">
        <v>500</v>
      </c>
      <c r="Z31" s="8" t="str">
        <f t="shared" si="0"/>
        <v>Work</v>
      </c>
      <c r="AG31" s="2">
        <v>6397818993</v>
      </c>
    </row>
    <row r="32" spans="1:33" ht="15" x14ac:dyDescent="0.25">
      <c r="A32" s="8">
        <v>87</v>
      </c>
      <c r="B32" s="8">
        <v>3</v>
      </c>
      <c r="C32" s="8" t="s">
        <v>28</v>
      </c>
      <c r="D32" s="8" t="s">
        <v>80</v>
      </c>
      <c r="E32" s="8">
        <v>6416294100</v>
      </c>
      <c r="F32" s="9">
        <v>641629410003</v>
      </c>
      <c r="G32" s="8" t="s">
        <v>151</v>
      </c>
      <c r="H32" s="8" t="s">
        <v>152</v>
      </c>
      <c r="I32" s="10">
        <v>46188</v>
      </c>
      <c r="J32" s="10">
        <v>46188</v>
      </c>
      <c r="K32" s="8" t="s">
        <v>32</v>
      </c>
      <c r="L32" s="11">
        <v>624.97</v>
      </c>
      <c r="M32" s="8">
        <v>131</v>
      </c>
      <c r="N32" s="8" t="s">
        <v>33</v>
      </c>
      <c r="O32" s="8" t="s">
        <v>41</v>
      </c>
      <c r="P32" s="8" t="s">
        <v>35</v>
      </c>
      <c r="Q32" s="8">
        <v>3</v>
      </c>
      <c r="R32" s="8"/>
      <c r="S32" s="8">
        <v>840729</v>
      </c>
      <c r="T32" s="8"/>
      <c r="U32" s="8">
        <v>141027182</v>
      </c>
      <c r="V32" s="8" t="s">
        <v>153</v>
      </c>
      <c r="W32" s="8" t="s">
        <v>154</v>
      </c>
      <c r="X32" s="8"/>
      <c r="Y32" s="11">
        <v>11.49</v>
      </c>
      <c r="Z32" s="8" t="str">
        <f t="shared" si="0"/>
        <v>Work</v>
      </c>
      <c r="AG32" s="2">
        <v>6414676908</v>
      </c>
    </row>
    <row r="33" spans="1:33" ht="15" x14ac:dyDescent="0.25">
      <c r="A33" s="8">
        <v>87</v>
      </c>
      <c r="B33" s="8">
        <v>3</v>
      </c>
      <c r="C33" s="8" t="s">
        <v>28</v>
      </c>
      <c r="D33" s="8" t="s">
        <v>80</v>
      </c>
      <c r="E33" s="8">
        <v>6414978954</v>
      </c>
      <c r="F33" s="9">
        <v>641497895401</v>
      </c>
      <c r="G33" s="8" t="s">
        <v>155</v>
      </c>
      <c r="H33" s="8" t="s">
        <v>156</v>
      </c>
      <c r="I33" s="10">
        <v>46182</v>
      </c>
      <c r="J33" s="10">
        <v>46182</v>
      </c>
      <c r="K33" s="8" t="s">
        <v>32</v>
      </c>
      <c r="L33" s="11">
        <v>28207.27</v>
      </c>
      <c r="M33" s="8">
        <v>131</v>
      </c>
      <c r="N33" s="8" t="s">
        <v>157</v>
      </c>
      <c r="O33" s="8" t="s">
        <v>41</v>
      </c>
      <c r="P33" s="8" t="s">
        <v>35</v>
      </c>
      <c r="Q33" s="8">
        <v>11</v>
      </c>
      <c r="R33" s="8"/>
      <c r="S33" s="8">
        <v>840601</v>
      </c>
      <c r="T33" s="8"/>
      <c r="U33" s="8">
        <v>141001785</v>
      </c>
      <c r="V33" s="8" t="s">
        <v>158</v>
      </c>
      <c r="W33" s="8" t="s">
        <v>88</v>
      </c>
      <c r="X33" s="8"/>
      <c r="Y33" s="11">
        <v>933.89</v>
      </c>
      <c r="Z33" s="8" t="str">
        <f t="shared" si="0"/>
        <v>Work</v>
      </c>
      <c r="AG33" s="2">
        <v>6414803316</v>
      </c>
    </row>
    <row r="34" spans="1:33" ht="15" x14ac:dyDescent="0.25">
      <c r="A34" s="8">
        <v>87</v>
      </c>
      <c r="B34" s="8">
        <v>3</v>
      </c>
      <c r="C34" s="8" t="s">
        <v>28</v>
      </c>
      <c r="D34" s="8" t="s">
        <v>80</v>
      </c>
      <c r="E34" s="8">
        <v>6390513510</v>
      </c>
      <c r="F34" s="9">
        <v>639051351002</v>
      </c>
      <c r="G34" s="8" t="s">
        <v>159</v>
      </c>
      <c r="H34" s="8" t="s">
        <v>106</v>
      </c>
      <c r="I34" s="10">
        <v>46170</v>
      </c>
      <c r="J34" s="10">
        <v>46170</v>
      </c>
      <c r="K34" s="8" t="s">
        <v>32</v>
      </c>
      <c r="L34" s="11">
        <v>13146.68</v>
      </c>
      <c r="M34" s="8">
        <v>131</v>
      </c>
      <c r="N34" s="8" t="s">
        <v>160</v>
      </c>
      <c r="O34" s="8" t="s">
        <v>41</v>
      </c>
      <c r="P34" s="8" t="s">
        <v>35</v>
      </c>
      <c r="Q34" s="8">
        <v>11</v>
      </c>
      <c r="R34" s="8"/>
      <c r="S34" s="8">
        <v>840601</v>
      </c>
      <c r="T34" s="8"/>
      <c r="U34" s="8">
        <v>141001737</v>
      </c>
      <c r="V34" s="8" t="s">
        <v>161</v>
      </c>
      <c r="W34" s="8" t="s">
        <v>52</v>
      </c>
      <c r="X34" s="8"/>
      <c r="Y34" s="11">
        <v>181.97</v>
      </c>
      <c r="Z34" s="8" t="str">
        <f t="shared" si="0"/>
        <v>Work</v>
      </c>
      <c r="AG34" s="2">
        <v>6411089878</v>
      </c>
    </row>
    <row r="35" spans="1:33" ht="15" x14ac:dyDescent="0.25">
      <c r="A35" s="8">
        <v>87</v>
      </c>
      <c r="B35" s="8">
        <v>3</v>
      </c>
      <c r="C35" s="8" t="s">
        <v>28</v>
      </c>
      <c r="D35" s="8" t="s">
        <v>80</v>
      </c>
      <c r="E35" s="8">
        <v>6415641904</v>
      </c>
      <c r="F35" s="9">
        <v>641564190403</v>
      </c>
      <c r="G35" s="8" t="s">
        <v>162</v>
      </c>
      <c r="H35" s="8" t="s">
        <v>163</v>
      </c>
      <c r="I35" s="10">
        <v>46188</v>
      </c>
      <c r="J35" s="10">
        <v>46188</v>
      </c>
      <c r="K35" s="8" t="s">
        <v>32</v>
      </c>
      <c r="L35" s="11">
        <v>174</v>
      </c>
      <c r="M35" s="8">
        <v>131</v>
      </c>
      <c r="N35" s="8" t="s">
        <v>164</v>
      </c>
      <c r="O35" s="8" t="s">
        <v>41</v>
      </c>
      <c r="P35" s="8" t="s">
        <v>35</v>
      </c>
      <c r="Q35" s="8">
        <v>11</v>
      </c>
      <c r="R35" s="8"/>
      <c r="S35" s="8">
        <v>840600</v>
      </c>
      <c r="T35" s="8"/>
      <c r="U35" s="8">
        <v>141001419</v>
      </c>
      <c r="V35" s="8" t="s">
        <v>165</v>
      </c>
      <c r="W35" s="8" t="s">
        <v>166</v>
      </c>
      <c r="X35" s="8"/>
      <c r="Y35" s="11">
        <v>12.71</v>
      </c>
      <c r="Z35" s="8" t="str">
        <f t="shared" ref="Z35:Z55" si="1">IF(COUNTIF($AG$2:$AG$37, E35) &gt;0, "Skip", "Work")</f>
        <v>Work</v>
      </c>
      <c r="AG35" s="2">
        <v>6416022996</v>
      </c>
    </row>
    <row r="36" spans="1:33" ht="15" x14ac:dyDescent="0.25">
      <c r="A36" s="8">
        <v>87</v>
      </c>
      <c r="B36" s="8">
        <v>3</v>
      </c>
      <c r="C36" s="8" t="s">
        <v>28</v>
      </c>
      <c r="D36" s="8" t="s">
        <v>80</v>
      </c>
      <c r="E36" s="8">
        <v>6414843113</v>
      </c>
      <c r="F36" s="9">
        <v>641484311302</v>
      </c>
      <c r="G36" s="8" t="s">
        <v>167</v>
      </c>
      <c r="H36" s="8" t="s">
        <v>168</v>
      </c>
      <c r="I36" s="10">
        <v>46182</v>
      </c>
      <c r="J36" s="10">
        <v>46182</v>
      </c>
      <c r="K36" s="8" t="s">
        <v>32</v>
      </c>
      <c r="L36" s="11">
        <v>1465</v>
      </c>
      <c r="M36" s="8">
        <v>131</v>
      </c>
      <c r="N36" s="8" t="s">
        <v>160</v>
      </c>
      <c r="O36" s="8" t="s">
        <v>41</v>
      </c>
      <c r="P36" s="8" t="s">
        <v>35</v>
      </c>
      <c r="Q36" s="8">
        <v>11</v>
      </c>
      <c r="R36" s="8"/>
      <c r="S36" s="8">
        <v>840597</v>
      </c>
      <c r="T36" s="8"/>
      <c r="U36" s="8">
        <v>141000477</v>
      </c>
      <c r="V36" s="8" t="s">
        <v>169</v>
      </c>
      <c r="W36" s="8" t="s">
        <v>170</v>
      </c>
      <c r="X36" s="8"/>
      <c r="Y36" s="11">
        <v>149.62</v>
      </c>
      <c r="Z36" s="8" t="str">
        <f t="shared" si="1"/>
        <v>Work</v>
      </c>
      <c r="AG36" s="2">
        <v>6412992823</v>
      </c>
    </row>
    <row r="37" spans="1:33" ht="15" x14ac:dyDescent="0.25">
      <c r="A37" s="8">
        <v>51</v>
      </c>
      <c r="B37" s="8">
        <v>2</v>
      </c>
      <c r="C37" s="8" t="s">
        <v>28</v>
      </c>
      <c r="D37" s="8" t="s">
        <v>29</v>
      </c>
      <c r="E37" s="8">
        <v>6405531869</v>
      </c>
      <c r="F37" s="9">
        <v>640553186902</v>
      </c>
      <c r="G37" s="8" t="s">
        <v>171</v>
      </c>
      <c r="H37" s="8" t="s">
        <v>172</v>
      </c>
      <c r="I37" s="10">
        <v>46082</v>
      </c>
      <c r="J37" s="10">
        <v>46108</v>
      </c>
      <c r="K37" s="8" t="s">
        <v>32</v>
      </c>
      <c r="L37" s="11">
        <v>111202</v>
      </c>
      <c r="M37" s="8">
        <v>131</v>
      </c>
      <c r="N37" s="8" t="s">
        <v>33</v>
      </c>
      <c r="O37" s="8" t="s">
        <v>34</v>
      </c>
      <c r="P37" s="8" t="s">
        <v>35</v>
      </c>
      <c r="Q37" s="8">
        <v>3</v>
      </c>
      <c r="R37" s="8"/>
      <c r="S37" s="8">
        <v>841149</v>
      </c>
      <c r="T37" s="8"/>
      <c r="U37" s="8">
        <v>141063659</v>
      </c>
      <c r="V37" s="8" t="s">
        <v>173</v>
      </c>
      <c r="W37" s="8" t="s">
        <v>174</v>
      </c>
      <c r="X37" s="8"/>
      <c r="Y37" s="11">
        <v>0</v>
      </c>
      <c r="Z37" s="8" t="str">
        <f t="shared" si="1"/>
        <v>Work</v>
      </c>
      <c r="AG37" s="2">
        <v>6373807361</v>
      </c>
    </row>
    <row r="38" spans="1:33" ht="15" x14ac:dyDescent="0.25">
      <c r="A38" s="8"/>
      <c r="B38" s="8">
        <v>1</v>
      </c>
      <c r="C38" s="8" t="s">
        <v>28</v>
      </c>
      <c r="D38" s="8" t="s">
        <v>29</v>
      </c>
      <c r="E38" s="8">
        <v>6372151478</v>
      </c>
      <c r="F38" s="9">
        <v>637215147802</v>
      </c>
      <c r="G38" s="8" t="s">
        <v>175</v>
      </c>
      <c r="H38" s="8" t="s">
        <v>163</v>
      </c>
      <c r="I38" s="10">
        <v>45937</v>
      </c>
      <c r="J38" s="10">
        <v>45937</v>
      </c>
      <c r="K38" s="8" t="s">
        <v>32</v>
      </c>
      <c r="L38" s="11">
        <v>998</v>
      </c>
      <c r="M38" s="8">
        <v>131</v>
      </c>
      <c r="N38" s="8" t="s">
        <v>176</v>
      </c>
      <c r="O38" s="8" t="s">
        <v>41</v>
      </c>
      <c r="P38" s="8" t="s">
        <v>35</v>
      </c>
      <c r="Q38" s="8">
        <v>24</v>
      </c>
      <c r="R38" s="8"/>
      <c r="S38" s="8">
        <v>841417</v>
      </c>
      <c r="T38" s="8"/>
      <c r="U38" s="8">
        <v>141088630</v>
      </c>
      <c r="V38" s="8" t="s">
        <v>177</v>
      </c>
      <c r="W38" s="8" t="s">
        <v>178</v>
      </c>
      <c r="X38" s="8"/>
      <c r="Y38" s="11">
        <v>0</v>
      </c>
      <c r="Z38" s="8" t="str">
        <f t="shared" si="1"/>
        <v>Work</v>
      </c>
    </row>
    <row r="39" spans="1:33" ht="15" x14ac:dyDescent="0.25">
      <c r="A39" s="8"/>
      <c r="B39" s="8">
        <v>1</v>
      </c>
      <c r="C39" s="8" t="s">
        <v>28</v>
      </c>
      <c r="D39" s="8" t="s">
        <v>29</v>
      </c>
      <c r="E39" s="8">
        <v>6339460363</v>
      </c>
      <c r="F39" s="9">
        <v>633946036302</v>
      </c>
      <c r="G39" s="8" t="s">
        <v>179</v>
      </c>
      <c r="H39" s="8" t="s">
        <v>180</v>
      </c>
      <c r="I39" s="10">
        <v>45747</v>
      </c>
      <c r="J39" s="10">
        <v>45747</v>
      </c>
      <c r="K39" s="8" t="s">
        <v>32</v>
      </c>
      <c r="L39" s="11">
        <v>904</v>
      </c>
      <c r="M39" s="8">
        <v>131</v>
      </c>
      <c r="N39" s="8" t="s">
        <v>33</v>
      </c>
      <c r="O39" s="8" t="s">
        <v>41</v>
      </c>
      <c r="P39" s="8" t="s">
        <v>35</v>
      </c>
      <c r="Q39" s="8">
        <v>3</v>
      </c>
      <c r="R39" s="8"/>
      <c r="S39" s="8">
        <v>841417</v>
      </c>
      <c r="T39" s="8"/>
      <c r="U39" s="8">
        <v>141088521</v>
      </c>
      <c r="V39" s="8" t="s">
        <v>181</v>
      </c>
      <c r="W39" s="8" t="s">
        <v>182</v>
      </c>
      <c r="X39" s="8"/>
      <c r="Y39" s="11">
        <v>0</v>
      </c>
      <c r="Z39" s="8" t="str">
        <f t="shared" si="1"/>
        <v>Work</v>
      </c>
    </row>
    <row r="40" spans="1:33" ht="15" x14ac:dyDescent="0.25">
      <c r="A40" s="8"/>
      <c r="B40" s="8">
        <v>1</v>
      </c>
      <c r="C40" s="8" t="s">
        <v>28</v>
      </c>
      <c r="D40" s="8" t="s">
        <v>29</v>
      </c>
      <c r="E40" s="8">
        <v>6346875393</v>
      </c>
      <c r="F40" s="9">
        <v>634687539302</v>
      </c>
      <c r="G40" s="8" t="s">
        <v>179</v>
      </c>
      <c r="H40" s="8" t="s">
        <v>180</v>
      </c>
      <c r="I40" s="10">
        <v>45755</v>
      </c>
      <c r="J40" s="10">
        <v>45755</v>
      </c>
      <c r="K40" s="8" t="s">
        <v>32</v>
      </c>
      <c r="L40" s="11">
        <v>573</v>
      </c>
      <c r="M40" s="8">
        <v>131</v>
      </c>
      <c r="N40" s="8" t="s">
        <v>33</v>
      </c>
      <c r="O40" s="8" t="s">
        <v>41</v>
      </c>
      <c r="P40" s="8" t="s">
        <v>35</v>
      </c>
      <c r="Q40" s="8">
        <v>3</v>
      </c>
      <c r="R40" s="8"/>
      <c r="S40" s="8">
        <v>841417</v>
      </c>
      <c r="T40" s="8"/>
      <c r="U40" s="8">
        <v>141088511</v>
      </c>
      <c r="V40" s="8" t="s">
        <v>183</v>
      </c>
      <c r="W40" s="8" t="s">
        <v>184</v>
      </c>
      <c r="X40" s="8"/>
      <c r="Y40" s="11">
        <v>0</v>
      </c>
      <c r="Z40" s="8" t="str">
        <f t="shared" si="1"/>
        <v>Work</v>
      </c>
    </row>
    <row r="41" spans="1:33" ht="15" x14ac:dyDescent="0.25">
      <c r="A41" s="8"/>
      <c r="B41" s="8">
        <v>1</v>
      </c>
      <c r="C41" s="8" t="s">
        <v>28</v>
      </c>
      <c r="D41" s="8" t="s">
        <v>29</v>
      </c>
      <c r="E41" s="8">
        <v>6327791042</v>
      </c>
      <c r="F41" s="9">
        <v>632779104202</v>
      </c>
      <c r="G41" s="8" t="s">
        <v>179</v>
      </c>
      <c r="H41" s="8" t="s">
        <v>180</v>
      </c>
      <c r="I41" s="10">
        <v>45663</v>
      </c>
      <c r="J41" s="10">
        <v>45663</v>
      </c>
      <c r="K41" s="8" t="s">
        <v>32</v>
      </c>
      <c r="L41" s="11">
        <v>452</v>
      </c>
      <c r="M41" s="8">
        <v>131</v>
      </c>
      <c r="N41" s="8" t="s">
        <v>33</v>
      </c>
      <c r="O41" s="8" t="s">
        <v>41</v>
      </c>
      <c r="P41" s="8" t="s">
        <v>35</v>
      </c>
      <c r="Q41" s="8">
        <v>3</v>
      </c>
      <c r="R41" s="8"/>
      <c r="S41" s="8">
        <v>841417</v>
      </c>
      <c r="T41" s="8"/>
      <c r="U41" s="8">
        <v>141088501</v>
      </c>
      <c r="V41" s="8" t="s">
        <v>185</v>
      </c>
      <c r="W41" s="8" t="s">
        <v>186</v>
      </c>
      <c r="X41" s="8"/>
      <c r="Y41" s="11">
        <v>0</v>
      </c>
      <c r="Z41" s="8" t="str">
        <f t="shared" si="1"/>
        <v>Work</v>
      </c>
    </row>
    <row r="42" spans="1:33" ht="15" x14ac:dyDescent="0.25">
      <c r="A42" s="8"/>
      <c r="B42" s="8">
        <v>1</v>
      </c>
      <c r="C42" s="8" t="s">
        <v>28</v>
      </c>
      <c r="D42" s="8" t="s">
        <v>29</v>
      </c>
      <c r="E42" s="8">
        <v>6301675822</v>
      </c>
      <c r="F42" s="9">
        <v>630167582202</v>
      </c>
      <c r="G42" s="8" t="s">
        <v>179</v>
      </c>
      <c r="H42" s="8" t="s">
        <v>180</v>
      </c>
      <c r="I42" s="10">
        <v>45548</v>
      </c>
      <c r="J42" s="10">
        <v>45548</v>
      </c>
      <c r="K42" s="8" t="s">
        <v>32</v>
      </c>
      <c r="L42" s="11">
        <v>642</v>
      </c>
      <c r="M42" s="8">
        <v>131</v>
      </c>
      <c r="N42" s="8" t="s">
        <v>33</v>
      </c>
      <c r="O42" s="8" t="s">
        <v>41</v>
      </c>
      <c r="P42" s="8" t="s">
        <v>35</v>
      </c>
      <c r="Q42" s="8">
        <v>3</v>
      </c>
      <c r="R42" s="8"/>
      <c r="S42" s="8">
        <v>841417</v>
      </c>
      <c r="T42" s="8"/>
      <c r="U42" s="8">
        <v>141088490</v>
      </c>
      <c r="V42" s="8" t="s">
        <v>187</v>
      </c>
      <c r="W42" s="8" t="s">
        <v>188</v>
      </c>
      <c r="X42" s="8"/>
      <c r="Y42" s="11">
        <v>0</v>
      </c>
      <c r="Z42" s="8" t="str">
        <f t="shared" si="1"/>
        <v>Work</v>
      </c>
    </row>
    <row r="43" spans="1:33" ht="15" x14ac:dyDescent="0.25">
      <c r="A43" s="8"/>
      <c r="B43" s="8">
        <v>1</v>
      </c>
      <c r="C43" s="8" t="s">
        <v>28</v>
      </c>
      <c r="D43" s="8" t="s">
        <v>29</v>
      </c>
      <c r="E43" s="8">
        <v>6289438007</v>
      </c>
      <c r="F43" s="9">
        <v>628943800702</v>
      </c>
      <c r="G43" s="8" t="s">
        <v>179</v>
      </c>
      <c r="H43" s="8" t="s">
        <v>180</v>
      </c>
      <c r="I43" s="10">
        <v>45422</v>
      </c>
      <c r="J43" s="10">
        <v>45422</v>
      </c>
      <c r="K43" s="8" t="s">
        <v>32</v>
      </c>
      <c r="L43" s="11">
        <v>844</v>
      </c>
      <c r="M43" s="8">
        <v>131</v>
      </c>
      <c r="N43" s="8" t="s">
        <v>33</v>
      </c>
      <c r="O43" s="8" t="s">
        <v>41</v>
      </c>
      <c r="P43" s="8" t="s">
        <v>35</v>
      </c>
      <c r="Q43" s="8">
        <v>3</v>
      </c>
      <c r="R43" s="8"/>
      <c r="S43" s="8">
        <v>841417</v>
      </c>
      <c r="T43" s="8"/>
      <c r="U43" s="8">
        <v>141088479</v>
      </c>
      <c r="V43" s="8" t="s">
        <v>187</v>
      </c>
      <c r="W43" s="8" t="s">
        <v>188</v>
      </c>
      <c r="X43" s="8"/>
      <c r="Y43" s="11">
        <v>0</v>
      </c>
      <c r="Z43" s="8" t="str">
        <f t="shared" si="1"/>
        <v>Work</v>
      </c>
    </row>
    <row r="44" spans="1:33" ht="15" x14ac:dyDescent="0.25">
      <c r="A44" s="8">
        <v>86</v>
      </c>
      <c r="B44" s="8">
        <v>1</v>
      </c>
      <c r="C44" s="8" t="s">
        <v>28</v>
      </c>
      <c r="D44" s="8" t="s">
        <v>29</v>
      </c>
      <c r="E44" s="8">
        <v>6406110428</v>
      </c>
      <c r="F44" s="9">
        <v>640611042805</v>
      </c>
      <c r="G44" s="8" t="s">
        <v>189</v>
      </c>
      <c r="H44" s="8" t="s">
        <v>190</v>
      </c>
      <c r="I44" s="10">
        <v>46178</v>
      </c>
      <c r="J44" s="10">
        <v>46178</v>
      </c>
      <c r="K44" s="8" t="s">
        <v>32</v>
      </c>
      <c r="L44" s="11">
        <v>2853</v>
      </c>
      <c r="M44" s="8">
        <v>131</v>
      </c>
      <c r="N44" s="8" t="s">
        <v>40</v>
      </c>
      <c r="O44" s="8" t="s">
        <v>41</v>
      </c>
      <c r="P44" s="8" t="s">
        <v>35</v>
      </c>
      <c r="Q44" s="8">
        <v>24</v>
      </c>
      <c r="R44" s="8"/>
      <c r="S44" s="8">
        <v>841393</v>
      </c>
      <c r="T44" s="8"/>
      <c r="U44" s="8">
        <v>141086532</v>
      </c>
      <c r="V44" s="8" t="s">
        <v>191</v>
      </c>
      <c r="W44" s="8" t="s">
        <v>192</v>
      </c>
      <c r="X44" s="8"/>
      <c r="Y44" s="11">
        <v>0</v>
      </c>
      <c r="Z44" s="8" t="str">
        <f t="shared" si="1"/>
        <v>Work</v>
      </c>
    </row>
    <row r="45" spans="1:33" ht="15" x14ac:dyDescent="0.25">
      <c r="A45" s="8">
        <v>-101</v>
      </c>
      <c r="B45" s="8">
        <v>1</v>
      </c>
      <c r="C45" s="8" t="s">
        <v>28</v>
      </c>
      <c r="D45" s="8" t="s">
        <v>29</v>
      </c>
      <c r="E45" s="8">
        <v>6386146531</v>
      </c>
      <c r="F45" s="9">
        <v>638614653103</v>
      </c>
      <c r="G45" s="8" t="s">
        <v>193</v>
      </c>
      <c r="H45" s="8" t="s">
        <v>194</v>
      </c>
      <c r="I45" s="10">
        <v>46000</v>
      </c>
      <c r="J45" s="10">
        <v>46000</v>
      </c>
      <c r="K45" s="8" t="s">
        <v>32</v>
      </c>
      <c r="L45" s="11">
        <v>1243</v>
      </c>
      <c r="M45" s="8">
        <v>137</v>
      </c>
      <c r="N45" s="8" t="s">
        <v>124</v>
      </c>
      <c r="O45" s="8" t="s">
        <v>41</v>
      </c>
      <c r="P45" s="8" t="s">
        <v>35</v>
      </c>
      <c r="Q45" s="8">
        <v>24</v>
      </c>
      <c r="R45" s="8"/>
      <c r="S45" s="8">
        <v>841393</v>
      </c>
      <c r="T45" s="8"/>
      <c r="U45" s="8">
        <v>141086407</v>
      </c>
      <c r="V45" s="8" t="s">
        <v>195</v>
      </c>
      <c r="W45" s="8" t="s">
        <v>188</v>
      </c>
      <c r="X45" s="8">
        <v>2.02600112563027E+16</v>
      </c>
      <c r="Y45" s="11">
        <v>0</v>
      </c>
      <c r="Z45" s="8" t="str">
        <f t="shared" si="1"/>
        <v>Work</v>
      </c>
    </row>
    <row r="46" spans="1:33" ht="15" x14ac:dyDescent="0.25">
      <c r="A46" s="8">
        <v>72</v>
      </c>
      <c r="B46" s="8">
        <v>1</v>
      </c>
      <c r="C46" s="8" t="s">
        <v>28</v>
      </c>
      <c r="D46" s="8" t="s">
        <v>29</v>
      </c>
      <c r="E46" s="8">
        <v>6369059555</v>
      </c>
      <c r="F46" s="9">
        <v>636905955503</v>
      </c>
      <c r="G46" s="8" t="s">
        <v>196</v>
      </c>
      <c r="H46" s="8" t="s">
        <v>197</v>
      </c>
      <c r="I46" s="10">
        <v>45953</v>
      </c>
      <c r="J46" s="10">
        <v>45953</v>
      </c>
      <c r="K46" s="8" t="s">
        <v>32</v>
      </c>
      <c r="L46" s="11">
        <v>511.18</v>
      </c>
      <c r="M46" s="8">
        <v>131</v>
      </c>
      <c r="N46" s="8" t="s">
        <v>40</v>
      </c>
      <c r="O46" s="8" t="s">
        <v>34</v>
      </c>
      <c r="P46" s="8" t="s">
        <v>35</v>
      </c>
      <c r="Q46" s="8">
        <v>24</v>
      </c>
      <c r="R46" s="8"/>
      <c r="S46" s="8">
        <v>841393</v>
      </c>
      <c r="T46" s="8"/>
      <c r="U46" s="8">
        <v>141086305</v>
      </c>
      <c r="V46" s="8" t="s">
        <v>198</v>
      </c>
      <c r="W46" s="8" t="s">
        <v>199</v>
      </c>
      <c r="X46" s="8"/>
      <c r="Y46" s="11">
        <v>0</v>
      </c>
      <c r="Z46" s="8" t="str">
        <f t="shared" si="1"/>
        <v>Work</v>
      </c>
    </row>
    <row r="47" spans="1:33" ht="15" x14ac:dyDescent="0.25">
      <c r="A47" s="8">
        <v>-37</v>
      </c>
      <c r="B47" s="8">
        <v>1</v>
      </c>
      <c r="C47" s="8" t="s">
        <v>28</v>
      </c>
      <c r="D47" s="8" t="s">
        <v>29</v>
      </c>
      <c r="E47" s="8">
        <v>6386059927</v>
      </c>
      <c r="F47" s="9">
        <v>638605992705</v>
      </c>
      <c r="G47" s="8" t="s">
        <v>200</v>
      </c>
      <c r="H47" s="8" t="s">
        <v>201</v>
      </c>
      <c r="I47" s="10">
        <v>46060</v>
      </c>
      <c r="J47" s="10">
        <v>46060</v>
      </c>
      <c r="K47" s="8" t="s">
        <v>32</v>
      </c>
      <c r="L47" s="11">
        <v>4884</v>
      </c>
      <c r="M47" s="8">
        <v>131</v>
      </c>
      <c r="N47" s="8" t="s">
        <v>40</v>
      </c>
      <c r="O47" s="8" t="s">
        <v>34</v>
      </c>
      <c r="P47" s="8" t="s">
        <v>35</v>
      </c>
      <c r="Q47" s="8">
        <v>24</v>
      </c>
      <c r="R47" s="8"/>
      <c r="S47" s="8">
        <v>841393</v>
      </c>
      <c r="T47" s="8"/>
      <c r="U47" s="8">
        <v>141086039</v>
      </c>
      <c r="V47" s="8" t="s">
        <v>202</v>
      </c>
      <c r="W47" s="8" t="s">
        <v>203</v>
      </c>
      <c r="X47" s="8"/>
      <c r="Y47" s="11">
        <v>0</v>
      </c>
      <c r="Z47" s="8" t="str">
        <f t="shared" si="1"/>
        <v>Work</v>
      </c>
    </row>
    <row r="48" spans="1:33" ht="15" x14ac:dyDescent="0.25">
      <c r="A48" s="8">
        <v>24</v>
      </c>
      <c r="B48" s="8">
        <v>1</v>
      </c>
      <c r="C48" s="8" t="s">
        <v>28</v>
      </c>
      <c r="D48" s="8" t="s">
        <v>29</v>
      </c>
      <c r="E48" s="8">
        <v>6379735493</v>
      </c>
      <c r="F48" s="9">
        <v>637973549301</v>
      </c>
      <c r="G48" s="8" t="s">
        <v>204</v>
      </c>
      <c r="H48" s="8" t="s">
        <v>205</v>
      </c>
      <c r="I48" s="10">
        <v>46128</v>
      </c>
      <c r="J48" s="10">
        <v>46128</v>
      </c>
      <c r="K48" s="8" t="s">
        <v>32</v>
      </c>
      <c r="L48" s="11">
        <v>660</v>
      </c>
      <c r="M48" s="8">
        <v>131</v>
      </c>
      <c r="N48" s="8" t="s">
        <v>33</v>
      </c>
      <c r="O48" s="8" t="s">
        <v>41</v>
      </c>
      <c r="P48" s="8" t="s">
        <v>35</v>
      </c>
      <c r="Q48" s="8">
        <v>3</v>
      </c>
      <c r="R48" s="8"/>
      <c r="S48" s="8">
        <v>841393</v>
      </c>
      <c r="T48" s="8"/>
      <c r="U48" s="8">
        <v>141085929</v>
      </c>
      <c r="V48" s="8" t="s">
        <v>206</v>
      </c>
      <c r="W48" s="8" t="s">
        <v>207</v>
      </c>
      <c r="X48" s="8"/>
      <c r="Y48" s="11">
        <v>0</v>
      </c>
      <c r="Z48" s="8" t="str">
        <f t="shared" si="1"/>
        <v>Work</v>
      </c>
    </row>
    <row r="49" spans="1:26" ht="15" x14ac:dyDescent="0.25">
      <c r="A49" s="8">
        <v>87</v>
      </c>
      <c r="B49" s="8">
        <v>1</v>
      </c>
      <c r="C49" s="8" t="s">
        <v>28</v>
      </c>
      <c r="D49" s="8" t="s">
        <v>29</v>
      </c>
      <c r="E49" s="8">
        <v>6388639669</v>
      </c>
      <c r="F49" s="9">
        <v>638863966902</v>
      </c>
      <c r="G49" s="8" t="s">
        <v>208</v>
      </c>
      <c r="H49" s="8" t="s">
        <v>209</v>
      </c>
      <c r="I49" s="10">
        <v>46053</v>
      </c>
      <c r="J49" s="10">
        <v>46053</v>
      </c>
      <c r="K49" s="8" t="s">
        <v>32</v>
      </c>
      <c r="L49" s="11">
        <v>24412.68</v>
      </c>
      <c r="M49" s="8">
        <v>131</v>
      </c>
      <c r="N49" s="8" t="s">
        <v>33</v>
      </c>
      <c r="O49" s="8" t="s">
        <v>41</v>
      </c>
      <c r="P49" s="8" t="s">
        <v>35</v>
      </c>
      <c r="Q49" s="8">
        <v>3</v>
      </c>
      <c r="R49" s="8"/>
      <c r="S49" s="8">
        <v>841393</v>
      </c>
      <c r="T49" s="8"/>
      <c r="U49" s="8">
        <v>141085780</v>
      </c>
      <c r="V49" s="8" t="s">
        <v>210</v>
      </c>
      <c r="W49" s="8" t="s">
        <v>211</v>
      </c>
      <c r="X49" s="8"/>
      <c r="Y49" s="11">
        <v>0</v>
      </c>
      <c r="Z49" s="8" t="str">
        <f t="shared" si="1"/>
        <v>Work</v>
      </c>
    </row>
    <row r="50" spans="1:26" ht="15" x14ac:dyDescent="0.25">
      <c r="A50" s="8">
        <v>-22</v>
      </c>
      <c r="B50" s="8">
        <v>1</v>
      </c>
      <c r="C50" s="8" t="s">
        <v>28</v>
      </c>
      <c r="D50" s="8" t="s">
        <v>29</v>
      </c>
      <c r="E50" s="8">
        <v>6383750191</v>
      </c>
      <c r="F50" s="9">
        <v>638375019101</v>
      </c>
      <c r="G50" s="8" t="s">
        <v>212</v>
      </c>
      <c r="H50" s="8" t="s">
        <v>213</v>
      </c>
      <c r="I50" s="10">
        <v>46066</v>
      </c>
      <c r="J50" s="10">
        <v>46066</v>
      </c>
      <c r="K50" s="8" t="s">
        <v>32</v>
      </c>
      <c r="L50" s="11">
        <v>11088.94</v>
      </c>
      <c r="M50" s="8">
        <v>131</v>
      </c>
      <c r="N50" s="8" t="s">
        <v>33</v>
      </c>
      <c r="O50" s="8" t="s">
        <v>41</v>
      </c>
      <c r="P50" s="8" t="s">
        <v>35</v>
      </c>
      <c r="Q50" s="8">
        <v>3</v>
      </c>
      <c r="R50" s="8"/>
      <c r="S50" s="8">
        <v>841393</v>
      </c>
      <c r="T50" s="8"/>
      <c r="U50" s="8">
        <v>141085725</v>
      </c>
      <c r="V50" s="8" t="s">
        <v>214</v>
      </c>
      <c r="W50" s="8" t="s">
        <v>215</v>
      </c>
      <c r="X50" s="8"/>
      <c r="Y50" s="11">
        <v>0</v>
      </c>
      <c r="Z50" s="8" t="str">
        <f t="shared" si="1"/>
        <v>Work</v>
      </c>
    </row>
    <row r="51" spans="1:26" ht="15" x14ac:dyDescent="0.25">
      <c r="A51" s="8">
        <v>88</v>
      </c>
      <c r="B51" s="8">
        <v>1</v>
      </c>
      <c r="C51" s="8" t="s">
        <v>28</v>
      </c>
      <c r="D51" s="8" t="s">
        <v>29</v>
      </c>
      <c r="E51" s="8">
        <v>6331124342</v>
      </c>
      <c r="F51" s="9">
        <v>633112434202</v>
      </c>
      <c r="G51" s="8" t="s">
        <v>175</v>
      </c>
      <c r="H51" s="8" t="s">
        <v>163</v>
      </c>
      <c r="I51" s="10">
        <v>45849</v>
      </c>
      <c r="J51" s="10">
        <v>45849</v>
      </c>
      <c r="K51" s="8" t="s">
        <v>32</v>
      </c>
      <c r="L51" s="11">
        <v>629</v>
      </c>
      <c r="M51" s="8">
        <v>131</v>
      </c>
      <c r="N51" s="8" t="s">
        <v>176</v>
      </c>
      <c r="O51" s="8" t="s">
        <v>41</v>
      </c>
      <c r="P51" s="8" t="s">
        <v>35</v>
      </c>
      <c r="Q51" s="8">
        <v>24</v>
      </c>
      <c r="R51" s="8"/>
      <c r="S51" s="8">
        <v>841390</v>
      </c>
      <c r="T51" s="8"/>
      <c r="U51" s="8">
        <v>141085558</v>
      </c>
      <c r="V51" s="8" t="s">
        <v>216</v>
      </c>
      <c r="W51" s="8" t="s">
        <v>217</v>
      </c>
      <c r="X51" s="8"/>
      <c r="Y51" s="11">
        <v>0</v>
      </c>
      <c r="Z51" s="8" t="str">
        <f t="shared" si="1"/>
        <v>Work</v>
      </c>
    </row>
    <row r="52" spans="1:26" ht="15" x14ac:dyDescent="0.25">
      <c r="A52" s="8">
        <v>87</v>
      </c>
      <c r="B52" s="8">
        <v>1</v>
      </c>
      <c r="C52" s="8" t="s">
        <v>28</v>
      </c>
      <c r="D52" s="8" t="s">
        <v>29</v>
      </c>
      <c r="E52" s="8">
        <v>6392542685</v>
      </c>
      <c r="F52" s="9">
        <v>639254268501</v>
      </c>
      <c r="G52" s="8" t="s">
        <v>218</v>
      </c>
      <c r="H52" s="8" t="s">
        <v>69</v>
      </c>
      <c r="I52" s="10">
        <v>46190</v>
      </c>
      <c r="J52" s="10">
        <v>46190</v>
      </c>
      <c r="K52" s="8" t="s">
        <v>46</v>
      </c>
      <c r="L52" s="11">
        <v>422</v>
      </c>
      <c r="M52" s="8">
        <v>221</v>
      </c>
      <c r="N52" s="8" t="s">
        <v>176</v>
      </c>
      <c r="O52" s="8" t="s">
        <v>34</v>
      </c>
      <c r="P52" s="8" t="s">
        <v>35</v>
      </c>
      <c r="Q52" s="8">
        <v>24</v>
      </c>
      <c r="R52" s="8"/>
      <c r="S52" s="8">
        <v>841372</v>
      </c>
      <c r="T52" s="8"/>
      <c r="U52" s="8">
        <v>141085296</v>
      </c>
      <c r="V52" s="8" t="s">
        <v>219</v>
      </c>
      <c r="W52" s="8" t="s">
        <v>220</v>
      </c>
      <c r="X52" s="8"/>
      <c r="Y52" s="11">
        <v>30.29</v>
      </c>
      <c r="Z52" s="8" t="str">
        <f t="shared" si="1"/>
        <v>Work</v>
      </c>
    </row>
    <row r="53" spans="1:26" ht="15" x14ac:dyDescent="0.25">
      <c r="A53" s="8">
        <v>13</v>
      </c>
      <c r="B53" s="8">
        <v>1</v>
      </c>
      <c r="C53" s="8" t="s">
        <v>28</v>
      </c>
      <c r="D53" s="8" t="s">
        <v>29</v>
      </c>
      <c r="E53" s="8">
        <v>6405888840</v>
      </c>
      <c r="F53" s="9">
        <v>640588884001</v>
      </c>
      <c r="G53" s="8" t="s">
        <v>221</v>
      </c>
      <c r="H53" s="8" t="s">
        <v>56</v>
      </c>
      <c r="I53" s="10">
        <v>46125</v>
      </c>
      <c r="J53" s="10">
        <v>46125</v>
      </c>
      <c r="K53" s="8" t="s">
        <v>46</v>
      </c>
      <c r="L53" s="11">
        <v>825</v>
      </c>
      <c r="M53" s="8">
        <v>101</v>
      </c>
      <c r="N53" s="8" t="s">
        <v>33</v>
      </c>
      <c r="O53" s="8" t="s">
        <v>34</v>
      </c>
      <c r="P53" s="8" t="s">
        <v>35</v>
      </c>
      <c r="Q53" s="8">
        <v>3</v>
      </c>
      <c r="R53" s="8"/>
      <c r="S53" s="8">
        <v>841372</v>
      </c>
      <c r="T53" s="8"/>
      <c r="U53" s="8">
        <v>141085189</v>
      </c>
      <c r="V53" s="8" t="s">
        <v>222</v>
      </c>
      <c r="W53" s="8" t="s">
        <v>223</v>
      </c>
      <c r="X53" s="8"/>
      <c r="Y53" s="11">
        <v>0</v>
      </c>
      <c r="Z53" s="8" t="str">
        <f t="shared" si="1"/>
        <v>Work</v>
      </c>
    </row>
    <row r="54" spans="1:26" ht="15" x14ac:dyDescent="0.25">
      <c r="A54" s="8">
        <v>87</v>
      </c>
      <c r="B54" s="8">
        <v>1</v>
      </c>
      <c r="C54" s="8" t="s">
        <v>28</v>
      </c>
      <c r="D54" s="8" t="s">
        <v>29</v>
      </c>
      <c r="E54" s="8">
        <v>6402812157</v>
      </c>
      <c r="F54" s="9">
        <v>640281215701</v>
      </c>
      <c r="G54" s="8" t="s">
        <v>224</v>
      </c>
      <c r="H54" s="8" t="s">
        <v>225</v>
      </c>
      <c r="I54" s="10">
        <v>46189</v>
      </c>
      <c r="J54" s="10">
        <v>46189</v>
      </c>
      <c r="K54" s="8" t="s">
        <v>46</v>
      </c>
      <c r="L54" s="11">
        <v>96</v>
      </c>
      <c r="M54" s="8">
        <v>221</v>
      </c>
      <c r="N54" s="8" t="s">
        <v>40</v>
      </c>
      <c r="O54" s="8" t="s">
        <v>34</v>
      </c>
      <c r="P54" s="8" t="s">
        <v>35</v>
      </c>
      <c r="Q54" s="8">
        <v>24</v>
      </c>
      <c r="R54" s="8"/>
      <c r="S54" s="8">
        <v>841369</v>
      </c>
      <c r="T54" s="8"/>
      <c r="U54" s="8">
        <v>141085036</v>
      </c>
      <c r="V54" s="8" t="s">
        <v>226</v>
      </c>
      <c r="W54" s="8" t="s">
        <v>227</v>
      </c>
      <c r="X54" s="8"/>
      <c r="Y54" s="11">
        <v>4.92</v>
      </c>
      <c r="Z54" s="8" t="str">
        <f t="shared" si="1"/>
        <v>Work</v>
      </c>
    </row>
    <row r="55" spans="1:26" ht="15" x14ac:dyDescent="0.25">
      <c r="A55" s="8">
        <v>89</v>
      </c>
      <c r="B55" s="8">
        <v>1</v>
      </c>
      <c r="C55" s="8" t="s">
        <v>28</v>
      </c>
      <c r="D55" s="8" t="s">
        <v>80</v>
      </c>
      <c r="E55" s="8">
        <v>6401732032</v>
      </c>
      <c r="F55" s="9">
        <v>640173203204</v>
      </c>
      <c r="G55" s="8" t="s">
        <v>228</v>
      </c>
      <c r="H55" s="8" t="s">
        <v>229</v>
      </c>
      <c r="I55" s="10">
        <v>46099</v>
      </c>
      <c r="J55" s="10">
        <v>46099</v>
      </c>
      <c r="K55" s="8" t="s">
        <v>32</v>
      </c>
      <c r="L55" s="11">
        <v>693</v>
      </c>
      <c r="M55" s="8">
        <v>131</v>
      </c>
      <c r="N55" s="8" t="s">
        <v>230</v>
      </c>
      <c r="O55" s="8" t="s">
        <v>41</v>
      </c>
      <c r="P55" s="8" t="s">
        <v>35</v>
      </c>
      <c r="Q55" s="8">
        <v>26</v>
      </c>
      <c r="R55" s="8"/>
      <c r="S55" s="8">
        <v>841250</v>
      </c>
      <c r="T55" s="8"/>
      <c r="U55" s="8">
        <v>141078291</v>
      </c>
      <c r="V55" s="8" t="s">
        <v>231</v>
      </c>
      <c r="W55" s="8" t="s">
        <v>232</v>
      </c>
      <c r="X55" s="8"/>
      <c r="Y55" s="11">
        <v>226.61</v>
      </c>
      <c r="Z55" s="8" t="str">
        <f t="shared" si="1"/>
        <v>Work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Amir</dc:creator>
  <cp:lastModifiedBy>Khan, Amir</cp:lastModifiedBy>
  <dcterms:created xsi:type="dcterms:W3CDTF">2026-06-11T13:14:20Z</dcterms:created>
  <dcterms:modified xsi:type="dcterms:W3CDTF">2026-07-10T13:17:19Z</dcterms:modified>
</cp:coreProperties>
</file>